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assdesign1992-my.sharepoint.com/personal/kitagawa_a-ss_co_jp/Documents/website-a/data/"/>
    </mc:Choice>
  </mc:AlternateContent>
  <xr:revisionPtr revIDLastSave="27" documentId="11_C8432B87D765A0FFE87DD0355EEBE6F9FB3DE3B6" xr6:coauthVersionLast="47" xr6:coauthVersionMax="47" xr10:uidLastSave="{94B52EFA-65EB-4165-A8DF-7D9B409B003D}"/>
  <bookViews>
    <workbookView xWindow="-120" yWindow="-120" windowWidth="29040" windowHeight="15720" xr2:uid="{00000000-000D-0000-FFFF-FFFF00000000}"/>
  </bookViews>
  <sheets>
    <sheet name="LISP_CSV_Templat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 i="1" l="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2" i="1"/>
  <c r="F3" i="1"/>
  <c r="I3" i="1"/>
  <c r="J3" i="1"/>
  <c r="K3" i="1"/>
  <c r="L3" i="1"/>
  <c r="F4" i="1"/>
  <c r="I4" i="1"/>
  <c r="J4" i="1"/>
  <c r="K4" i="1"/>
  <c r="L4" i="1"/>
  <c r="F5" i="1"/>
  <c r="I5" i="1"/>
  <c r="J5" i="1"/>
  <c r="K5" i="1"/>
  <c r="L5" i="1"/>
  <c r="F6" i="1"/>
  <c r="I6" i="1"/>
  <c r="J6" i="1"/>
  <c r="K6" i="1"/>
  <c r="L6" i="1"/>
  <c r="F7" i="1"/>
  <c r="I7" i="1"/>
  <c r="J7" i="1"/>
  <c r="K7" i="1"/>
  <c r="L7" i="1"/>
  <c r="F8" i="1"/>
  <c r="I8" i="1"/>
  <c r="J8" i="1"/>
  <c r="K8" i="1"/>
  <c r="L8" i="1"/>
  <c r="F9" i="1"/>
  <c r="I9" i="1"/>
  <c r="J9" i="1"/>
  <c r="K9" i="1"/>
  <c r="L9" i="1"/>
  <c r="F10" i="1"/>
  <c r="I10" i="1"/>
  <c r="J10" i="1"/>
  <c r="K10" i="1"/>
  <c r="L10" i="1"/>
  <c r="F11" i="1"/>
  <c r="I11" i="1"/>
  <c r="J11" i="1"/>
  <c r="K11" i="1"/>
  <c r="L11" i="1"/>
  <c r="F12" i="1"/>
  <c r="I12" i="1"/>
  <c r="J12" i="1"/>
  <c r="K12" i="1"/>
  <c r="L12" i="1"/>
  <c r="F13" i="1"/>
  <c r="I13" i="1"/>
  <c r="J13" i="1"/>
  <c r="K13" i="1"/>
  <c r="L13" i="1"/>
  <c r="F14" i="1"/>
  <c r="I14" i="1"/>
  <c r="J14" i="1"/>
  <c r="K14" i="1"/>
  <c r="L14" i="1"/>
  <c r="F15" i="1"/>
  <c r="I15" i="1"/>
  <c r="J15" i="1"/>
  <c r="K15" i="1"/>
  <c r="L15" i="1"/>
  <c r="F16" i="1"/>
  <c r="I16" i="1"/>
  <c r="J16" i="1"/>
  <c r="K16" i="1"/>
  <c r="L16" i="1"/>
  <c r="F17" i="1"/>
  <c r="I17" i="1"/>
  <c r="J17" i="1"/>
  <c r="K17" i="1"/>
  <c r="L17" i="1"/>
  <c r="F18" i="1"/>
  <c r="I18" i="1"/>
  <c r="J18" i="1"/>
  <c r="K18" i="1"/>
  <c r="L18" i="1"/>
  <c r="F19" i="1"/>
  <c r="I19" i="1"/>
  <c r="J19" i="1"/>
  <c r="K19" i="1"/>
  <c r="L19" i="1"/>
  <c r="F20" i="1"/>
  <c r="I20" i="1"/>
  <c r="J20" i="1"/>
  <c r="K20" i="1"/>
  <c r="L20" i="1"/>
  <c r="F21" i="1"/>
  <c r="I21" i="1"/>
  <c r="J21" i="1"/>
  <c r="K21" i="1"/>
  <c r="L21" i="1"/>
  <c r="F22" i="1"/>
  <c r="I22" i="1"/>
  <c r="J22" i="1"/>
  <c r="K22" i="1"/>
  <c r="L22" i="1"/>
  <c r="F23" i="1"/>
  <c r="I23" i="1"/>
  <c r="J23" i="1"/>
  <c r="K23" i="1"/>
  <c r="L23" i="1"/>
  <c r="F24" i="1"/>
  <c r="I24" i="1"/>
  <c r="J24" i="1"/>
  <c r="K24" i="1"/>
  <c r="L24" i="1"/>
  <c r="F25" i="1"/>
  <c r="I25" i="1"/>
  <c r="J25" i="1"/>
  <c r="K25" i="1"/>
  <c r="L25" i="1"/>
  <c r="F26" i="1"/>
  <c r="I26" i="1"/>
  <c r="J26" i="1"/>
  <c r="K26" i="1"/>
  <c r="L26" i="1"/>
  <c r="F27" i="1"/>
  <c r="I27" i="1"/>
  <c r="J27" i="1"/>
  <c r="K27" i="1"/>
  <c r="L27" i="1"/>
  <c r="F28" i="1"/>
  <c r="I28" i="1"/>
  <c r="J28" i="1"/>
  <c r="K28" i="1"/>
  <c r="L28" i="1"/>
  <c r="F29" i="1"/>
  <c r="I29" i="1"/>
  <c r="J29" i="1"/>
  <c r="K29" i="1"/>
  <c r="L29" i="1"/>
  <c r="F30" i="1"/>
  <c r="I30" i="1"/>
  <c r="J30" i="1"/>
  <c r="K30" i="1"/>
  <c r="L30" i="1"/>
  <c r="F31" i="1"/>
  <c r="I31" i="1"/>
  <c r="J31" i="1"/>
  <c r="K31" i="1"/>
  <c r="L31" i="1"/>
  <c r="F32" i="1"/>
  <c r="I32" i="1"/>
  <c r="J32" i="1"/>
  <c r="K32" i="1"/>
  <c r="L32" i="1"/>
  <c r="F33" i="1"/>
  <c r="I33" i="1"/>
  <c r="J33" i="1"/>
  <c r="K33" i="1"/>
  <c r="L33" i="1"/>
  <c r="F34" i="1"/>
  <c r="I34" i="1"/>
  <c r="J34" i="1"/>
  <c r="K34" i="1"/>
  <c r="L34" i="1"/>
  <c r="F35" i="1"/>
  <c r="I35" i="1"/>
  <c r="J35" i="1"/>
  <c r="K35" i="1"/>
  <c r="L35" i="1"/>
  <c r="F36" i="1"/>
  <c r="I36" i="1"/>
  <c r="J36" i="1"/>
  <c r="K36" i="1"/>
  <c r="L36" i="1"/>
  <c r="F37" i="1"/>
  <c r="I37" i="1"/>
  <c r="J37" i="1"/>
  <c r="K37" i="1"/>
  <c r="L37" i="1"/>
  <c r="F38" i="1"/>
  <c r="I38" i="1"/>
  <c r="J38" i="1"/>
  <c r="K38" i="1"/>
  <c r="L38" i="1"/>
  <c r="F39" i="1"/>
  <c r="I39" i="1"/>
  <c r="J39" i="1"/>
  <c r="K39" i="1"/>
  <c r="L39" i="1"/>
  <c r="F40" i="1"/>
  <c r="I40" i="1"/>
  <c r="J40" i="1"/>
  <c r="K40" i="1"/>
  <c r="L40" i="1"/>
  <c r="F41" i="1"/>
  <c r="I41" i="1"/>
  <c r="J41" i="1"/>
  <c r="K41" i="1"/>
  <c r="L41" i="1"/>
  <c r="F42" i="1"/>
  <c r="I42" i="1"/>
  <c r="J42" i="1"/>
  <c r="K42" i="1"/>
  <c r="L42" i="1"/>
  <c r="F43" i="1"/>
  <c r="I43" i="1"/>
  <c r="J43" i="1"/>
  <c r="K43" i="1"/>
  <c r="L43" i="1"/>
  <c r="F44" i="1"/>
  <c r="I44" i="1"/>
  <c r="J44" i="1"/>
  <c r="K44" i="1"/>
  <c r="L44" i="1"/>
  <c r="F45" i="1"/>
  <c r="I45" i="1"/>
  <c r="J45" i="1"/>
  <c r="K45" i="1"/>
  <c r="L45" i="1"/>
  <c r="F46" i="1"/>
  <c r="I46" i="1"/>
  <c r="J46" i="1"/>
  <c r="K46" i="1"/>
  <c r="L46" i="1"/>
  <c r="F47" i="1"/>
  <c r="I47" i="1"/>
  <c r="J47" i="1"/>
  <c r="K47" i="1"/>
  <c r="L47" i="1"/>
  <c r="F48" i="1"/>
  <c r="I48" i="1"/>
  <c r="J48" i="1"/>
  <c r="K48" i="1"/>
  <c r="L48" i="1"/>
  <c r="F49" i="1"/>
  <c r="I49" i="1"/>
  <c r="J49" i="1"/>
  <c r="K49" i="1"/>
  <c r="L49" i="1"/>
  <c r="F50" i="1"/>
  <c r="I50" i="1"/>
  <c r="J50" i="1"/>
  <c r="K50" i="1"/>
  <c r="L50" i="1"/>
  <c r="F51" i="1"/>
  <c r="I51" i="1"/>
  <c r="J51" i="1"/>
  <c r="K51" i="1"/>
  <c r="L51" i="1"/>
  <c r="F52" i="1"/>
  <c r="I52" i="1"/>
  <c r="J52" i="1"/>
  <c r="K52" i="1"/>
  <c r="L52" i="1"/>
  <c r="F53" i="1"/>
  <c r="I53" i="1"/>
  <c r="J53" i="1"/>
  <c r="K53" i="1"/>
  <c r="L53" i="1"/>
  <c r="F54" i="1"/>
  <c r="I54" i="1"/>
  <c r="J54" i="1"/>
  <c r="K54" i="1"/>
  <c r="L54" i="1"/>
  <c r="F55" i="1"/>
  <c r="I55" i="1"/>
  <c r="J55" i="1"/>
  <c r="K55" i="1"/>
  <c r="L55" i="1"/>
  <c r="F56" i="1"/>
  <c r="I56" i="1"/>
  <c r="J56" i="1"/>
  <c r="K56" i="1"/>
  <c r="L56" i="1"/>
  <c r="F57" i="1"/>
  <c r="I57" i="1"/>
  <c r="J57" i="1"/>
  <c r="K57" i="1"/>
  <c r="L57" i="1"/>
  <c r="F58" i="1"/>
  <c r="I58" i="1"/>
  <c r="J58" i="1"/>
  <c r="K58" i="1"/>
  <c r="L58" i="1"/>
  <c r="F59" i="1"/>
  <c r="I59" i="1"/>
  <c r="J59" i="1"/>
  <c r="K59" i="1"/>
  <c r="L59" i="1"/>
  <c r="F60" i="1"/>
  <c r="I60" i="1"/>
  <c r="J60" i="1"/>
  <c r="K60" i="1"/>
  <c r="L60" i="1"/>
  <c r="F61" i="1"/>
  <c r="I61" i="1"/>
  <c r="J61" i="1"/>
  <c r="K61" i="1"/>
  <c r="L61" i="1"/>
  <c r="F62" i="1"/>
  <c r="I62" i="1"/>
  <c r="J62" i="1"/>
  <c r="K62" i="1"/>
  <c r="L62" i="1"/>
  <c r="F63" i="1"/>
  <c r="I63" i="1"/>
  <c r="J63" i="1"/>
  <c r="K63" i="1"/>
  <c r="L63" i="1"/>
  <c r="F64" i="1"/>
  <c r="I64" i="1"/>
  <c r="J64" i="1"/>
  <c r="K64" i="1"/>
  <c r="L64" i="1"/>
  <c r="F65" i="1"/>
  <c r="I65" i="1"/>
  <c r="J65" i="1"/>
  <c r="K65" i="1"/>
  <c r="L65" i="1"/>
  <c r="F66" i="1"/>
  <c r="I66" i="1"/>
  <c r="J66" i="1"/>
  <c r="K66" i="1"/>
  <c r="L66" i="1"/>
  <c r="F67" i="1"/>
  <c r="I67" i="1"/>
  <c r="J67" i="1"/>
  <c r="K67" i="1"/>
  <c r="L67" i="1"/>
  <c r="F68" i="1"/>
  <c r="I68" i="1"/>
  <c r="J68" i="1"/>
  <c r="K68" i="1"/>
  <c r="L68" i="1"/>
  <c r="F69" i="1"/>
  <c r="I69" i="1"/>
  <c r="J69" i="1"/>
  <c r="K69" i="1"/>
  <c r="L69" i="1"/>
  <c r="F70" i="1"/>
  <c r="I70" i="1"/>
  <c r="J70" i="1"/>
  <c r="K70" i="1"/>
  <c r="L70" i="1"/>
  <c r="F71" i="1"/>
  <c r="I71" i="1"/>
  <c r="J71" i="1"/>
  <c r="K71" i="1"/>
  <c r="L71" i="1"/>
  <c r="L2" i="1" l="1"/>
  <c r="K2" i="1"/>
  <c r="J2" i="1"/>
  <c r="I2" i="1"/>
  <c r="F2" i="1"/>
</calcChain>
</file>

<file path=xl/sharedStrings.xml><?xml version="1.0" encoding="utf-8"?>
<sst xmlns="http://schemas.openxmlformats.org/spreadsheetml/2006/main" count="612" uniqueCount="205">
  <si>
    <t>id</t>
  </si>
  <si>
    <t>name</t>
  </si>
  <si>
    <t>category</t>
  </si>
  <si>
    <t>desc</t>
  </si>
  <si>
    <t>command</t>
  </si>
  <si>
    <t>steps</t>
  </si>
  <si>
    <t>steptext</t>
  </si>
  <si>
    <t>tags</t>
  </si>
  <si>
    <t>before_img</t>
  </si>
  <si>
    <t>after_img</t>
  </si>
  <si>
    <t>lisp_file</t>
  </si>
  <si>
    <t>code_file</t>
  </si>
  <si>
    <t>date</t>
  </si>
  <si>
    <t>author</t>
  </si>
  <si>
    <t>status</t>
  </si>
  <si>
    <t>CSV_output</t>
  </si>
  <si>
    <t>手順1|手順2|手順3</t>
  </si>
  <si>
    <t>stable</t>
  </si>
  <si>
    <t>北川</t>
    <rPh sb="0" eb="2">
      <t>キタガワ</t>
    </rPh>
    <phoneticPr fontId="3"/>
  </si>
  <si>
    <t>BBB（外部データ一括再定義）</t>
    <rPh sb="4" eb="6">
      <t>ガイブ</t>
    </rPh>
    <rPh sb="9" eb="11">
      <t>イッカツ</t>
    </rPh>
    <rPh sb="11" eb="14">
      <t>サイテイギ</t>
    </rPh>
    <phoneticPr fontId="1"/>
  </si>
  <si>
    <t>RENBLK（選択ブロック名前変更）</t>
    <rPh sb="7" eb="9">
      <t>センタク</t>
    </rPh>
    <rPh sb="13" eb="15">
      <t>ナマエ</t>
    </rPh>
    <rPh sb="15" eb="17">
      <t>ヘンコウ</t>
    </rPh>
    <phoneticPr fontId="1"/>
  </si>
  <si>
    <t>BLKRENAME（一括ブロック名前変更）</t>
    <rPh sb="10" eb="12">
      <t>イッカツ</t>
    </rPh>
    <rPh sb="16" eb="20">
      <t>ナマエヘンコウ</t>
    </rPh>
    <phoneticPr fontId="1"/>
  </si>
  <si>
    <t>PASTE00 (基点00貼付)</t>
    <rPh sb="9" eb="11">
      <t>キテン</t>
    </rPh>
    <rPh sb="13" eb="15">
      <t>ハリツ</t>
    </rPh>
    <phoneticPr fontId="1"/>
  </si>
  <si>
    <t>ATTCOPY（属性文字変更コピー）</t>
    <rPh sb="8" eb="10">
      <t>ゾクセイ</t>
    </rPh>
    <rPh sb="10" eb="12">
      <t>モジ</t>
    </rPh>
    <rPh sb="12" eb="14">
      <t>ヘンコウ</t>
    </rPh>
    <phoneticPr fontId="1"/>
  </si>
  <si>
    <t>OPENSUPPORT（サポートフォルダを開く）</t>
    <rPh sb="21" eb="22">
      <t>ヒラ</t>
    </rPh>
    <phoneticPr fontId="1"/>
  </si>
  <si>
    <t>DIM1000</t>
  </si>
  <si>
    <t>PLDIM</t>
  </si>
  <si>
    <t>DIMFIT</t>
  </si>
  <si>
    <t>DPS</t>
  </si>
  <si>
    <t>DJOIN</t>
  </si>
  <si>
    <t>BTDCHG</t>
  </si>
  <si>
    <t>ETXT</t>
  </si>
  <si>
    <t>JTXT</t>
  </si>
  <si>
    <t>STXT</t>
  </si>
  <si>
    <t>TXCOPY</t>
  </si>
  <si>
    <t>CHNUM</t>
  </si>
  <si>
    <t>DOBJECT</t>
  </si>
  <si>
    <t>NUMALL</t>
  </si>
  <si>
    <t>TSWAP</t>
  </si>
  <si>
    <t>CBTST</t>
  </si>
  <si>
    <t>UNLOCKALL</t>
  </si>
  <si>
    <t>LAYERLOCK</t>
  </si>
  <si>
    <t>LAYERLF</t>
  </si>
  <si>
    <t>BLBYLAY</t>
  </si>
  <si>
    <t>LAYALL</t>
  </si>
  <si>
    <t>BLARRAY</t>
  </si>
  <si>
    <t>BLNAME</t>
  </si>
  <si>
    <t>BLPULS</t>
  </si>
  <si>
    <t>BLBASE</t>
  </si>
  <si>
    <t>BLOVERKILL</t>
  </si>
  <si>
    <t>BTXTDEL</t>
  </si>
  <si>
    <t>UNBLK</t>
  </si>
  <si>
    <t>BLREGEN</t>
  </si>
  <si>
    <t>NESTPROP</t>
  </si>
  <si>
    <t>BLLAYCUR</t>
  </si>
  <si>
    <t>RENANON</t>
  </si>
  <si>
    <t>BLFLAT</t>
  </si>
  <si>
    <t>QWBL</t>
  </si>
  <si>
    <t>IINSERT</t>
  </si>
  <si>
    <t>BINSERT</t>
  </si>
  <si>
    <t>BKRP</t>
  </si>
  <si>
    <t>LAYNST</t>
  </si>
  <si>
    <t>WBINSERT</t>
  </si>
  <si>
    <t>BLDEL</t>
  </si>
  <si>
    <t>BLCHG</t>
  </si>
  <si>
    <t>BLINSERT</t>
  </si>
  <si>
    <t>HBPERF</t>
  </si>
  <si>
    <t>HPP</t>
  </si>
  <si>
    <t>KYUSEKIZU</t>
  </si>
  <si>
    <t>PLPOINT</t>
  </si>
  <si>
    <t>PLCLEAN</t>
  </si>
  <si>
    <t>GETOUTLINE</t>
  </si>
  <si>
    <t>PLB</t>
  </si>
  <si>
    <t>PLCHK</t>
  </si>
  <si>
    <t xml:space="preserve">CCLIP00 </t>
  </si>
  <si>
    <t>CUT00</t>
  </si>
  <si>
    <t>CUTBASE</t>
  </si>
  <si>
    <t>PAPERZOOMALL</t>
  </si>
  <si>
    <t>FRM</t>
  </si>
  <si>
    <t>SETLTSCALE</t>
  </si>
  <si>
    <t>NEWNAME</t>
  </si>
  <si>
    <t>SCALECONT</t>
  </si>
  <si>
    <t>GRP</t>
  </si>
  <si>
    <t>CHECK</t>
  </si>
  <si>
    <t>VTRAC</t>
  </si>
  <si>
    <t>JOINPOLY</t>
  </si>
  <si>
    <t>XYMC</t>
  </si>
  <si>
    <t>PLMENSEKI</t>
  </si>
  <si>
    <t>RENBLK</t>
    <phoneticPr fontId="1"/>
  </si>
  <si>
    <t>BLKRENAME</t>
    <phoneticPr fontId="1"/>
  </si>
  <si>
    <t>PASTE00</t>
    <phoneticPr fontId="1"/>
  </si>
  <si>
    <t>ATTCOPY</t>
    <phoneticPr fontId="1"/>
  </si>
  <si>
    <t>OPENSUPPORT</t>
    <phoneticPr fontId="1"/>
  </si>
  <si>
    <t>BBB</t>
    <phoneticPr fontId="1"/>
  </si>
  <si>
    <t>寸法</t>
    <rPh sb="0" eb="2">
      <t>スンポウ</t>
    </rPh>
    <phoneticPr fontId="1"/>
  </si>
  <si>
    <t>文字</t>
    <rPh sb="0" eb="2">
      <t>モジ</t>
    </rPh>
    <phoneticPr fontId="1"/>
  </si>
  <si>
    <t>文字</t>
  </si>
  <si>
    <t>文字+レイヤー</t>
    <rPh sb="0" eb="2">
      <t>モジ</t>
    </rPh>
    <phoneticPr fontId="1"/>
  </si>
  <si>
    <t>レイヤー</t>
  </si>
  <si>
    <t>ブロック</t>
  </si>
  <si>
    <t>ハッチング</t>
  </si>
  <si>
    <t>ツール</t>
  </si>
  <si>
    <t>ポリライン</t>
  </si>
  <si>
    <t>コピー</t>
  </si>
  <si>
    <t>貼付</t>
    <rPh sb="0" eb="2">
      <t>ハリツ</t>
    </rPh>
    <phoneticPr fontId="2"/>
  </si>
  <si>
    <t>切り取り</t>
    <rPh sb="0" eb="1">
      <t>キ</t>
    </rPh>
    <rPh sb="2" eb="3">
      <t>ト</t>
    </rPh>
    <phoneticPr fontId="1"/>
  </si>
  <si>
    <t>レイアウト</t>
  </si>
  <si>
    <t>設定</t>
    <rPh sb="0" eb="2">
      <t>セッテイ</t>
    </rPh>
    <phoneticPr fontId="1"/>
  </si>
  <si>
    <t>属性</t>
    <rPh sb="0" eb="2">
      <t>ゾクセイ</t>
    </rPh>
    <phoneticPr fontId="1"/>
  </si>
  <si>
    <t>削除</t>
    <rPh sb="0" eb="2">
      <t>サクジョ</t>
    </rPh>
    <phoneticPr fontId="1"/>
  </si>
  <si>
    <t>名前追加</t>
    <rPh sb="0" eb="2">
      <t>ナマエ</t>
    </rPh>
    <rPh sb="2" eb="4">
      <t>ツイカ</t>
    </rPh>
    <phoneticPr fontId="1"/>
  </si>
  <si>
    <t>尺度</t>
    <rPh sb="0" eb="2">
      <t>シャクド</t>
    </rPh>
    <phoneticPr fontId="1"/>
  </si>
  <si>
    <t>グループ</t>
  </si>
  <si>
    <t>チェック</t>
  </si>
  <si>
    <t>図形</t>
    <rPh sb="0" eb="2">
      <t>ズケイ</t>
    </rPh>
    <phoneticPr fontId="1"/>
  </si>
  <si>
    <t>移動コピー</t>
    <rPh sb="0" eb="2">
      <t>イドウ</t>
    </rPh>
    <phoneticPr fontId="1"/>
  </si>
  <si>
    <t>ファイル</t>
  </si>
  <si>
    <t>ちょい足し寸法　　縦か横の1000mmの寸法が任意の点側に作図される</t>
    <rPh sb="23" eb="25">
      <t>ニンイ</t>
    </rPh>
    <rPh sb="26" eb="27">
      <t>テン</t>
    </rPh>
    <rPh sb="27" eb="28">
      <t>ガワ</t>
    </rPh>
    <rPh sb="29" eb="31">
      <t>サクズ</t>
    </rPh>
    <phoneticPr fontId="2"/>
  </si>
  <si>
    <t>ポリラインに寸法を記入</t>
    <rPh sb="6" eb="8">
      <t>スンポウ</t>
    </rPh>
    <rPh sb="9" eb="11">
      <t>キニュウ</t>
    </rPh>
    <phoneticPr fontId="1"/>
  </si>
  <si>
    <t>寸法値の先頭と末尾に文字を追加したい</t>
    <rPh sb="2" eb="3">
      <t>チ</t>
    </rPh>
    <rPh sb="4" eb="6">
      <t>セントウ</t>
    </rPh>
    <rPh sb="7" eb="9">
      <t>マツビ</t>
    </rPh>
    <rPh sb="10" eb="12">
      <t>モジ</t>
    </rPh>
    <rPh sb="13" eb="15">
      <t>ツイカ</t>
    </rPh>
    <phoneticPr fontId="1"/>
  </si>
  <si>
    <t>寸法分割&amp;結合</t>
  </si>
  <si>
    <t>ブロックを選択しブロック内の寸法スタイルをカレントの寸法スタイルに変更する</t>
    <rPh sb="5" eb="7">
      <t>センタク</t>
    </rPh>
    <rPh sb="12" eb="13">
      <t>ナイ</t>
    </rPh>
    <rPh sb="14" eb="16">
      <t>スンポウ</t>
    </rPh>
    <rPh sb="26" eb="28">
      <t>スンポウ</t>
    </rPh>
    <rPh sb="33" eb="35">
      <t>ヘンコウ</t>
    </rPh>
    <phoneticPr fontId="1"/>
  </si>
  <si>
    <t>複数の文字内容から重複する内容をを一括削除し異なる内容を各1種類ずつ残す</t>
    <rPh sb="0" eb="2">
      <t>フクスウ</t>
    </rPh>
    <rPh sb="3" eb="5">
      <t>モジ</t>
    </rPh>
    <rPh sb="5" eb="7">
      <t>ナイヨウ</t>
    </rPh>
    <rPh sb="9" eb="11">
      <t>チョウフク</t>
    </rPh>
    <rPh sb="13" eb="15">
      <t>ナイヨウ</t>
    </rPh>
    <rPh sb="17" eb="19">
      <t>イッカツ</t>
    </rPh>
    <rPh sb="19" eb="21">
      <t>サクジョ</t>
    </rPh>
    <rPh sb="22" eb="23">
      <t>コト</t>
    </rPh>
    <rPh sb="25" eb="27">
      <t>ナイヨウ</t>
    </rPh>
    <rPh sb="28" eb="29">
      <t>カク</t>
    </rPh>
    <rPh sb="30" eb="32">
      <t>シュルイ</t>
    </rPh>
    <rPh sb="34" eb="35">
      <t>ノコ</t>
    </rPh>
    <phoneticPr fontId="1"/>
  </si>
  <si>
    <t>文字列種類別整列</t>
    <rPh sb="0" eb="2">
      <t>モジ</t>
    </rPh>
    <rPh sb="2" eb="3">
      <t>レツ</t>
    </rPh>
    <rPh sb="3" eb="6">
      <t>シュルイベツ</t>
    </rPh>
    <rPh sb="6" eb="8">
      <t>セイレツ</t>
    </rPh>
    <phoneticPr fontId="1"/>
  </si>
  <si>
    <t>数字が入った文字を選択すると、任意の数値で増減ができる</t>
    <rPh sb="0" eb="2">
      <t>スウジ</t>
    </rPh>
    <rPh sb="3" eb="4">
      <t>ハイ</t>
    </rPh>
    <rPh sb="6" eb="8">
      <t>モジ</t>
    </rPh>
    <rPh sb="9" eb="11">
      <t>センタク</t>
    </rPh>
    <rPh sb="15" eb="17">
      <t>ニンイ</t>
    </rPh>
    <rPh sb="18" eb="20">
      <t>スウチ</t>
    </rPh>
    <rPh sb="21" eb="23">
      <t>ゾウゲン</t>
    </rPh>
    <phoneticPr fontId="1"/>
  </si>
  <si>
    <t>選択した範囲内かモデル空間かペーパー空間に存在する文字やブロックなどを全て削除する</t>
    <rPh sb="0" eb="2">
      <t>センタク</t>
    </rPh>
    <rPh sb="4" eb="7">
      <t>ハンイナイ</t>
    </rPh>
    <rPh sb="11" eb="13">
      <t>クウカン</t>
    </rPh>
    <rPh sb="18" eb="20">
      <t>クウカン</t>
    </rPh>
    <rPh sb="21" eb="23">
      <t>ソンザイ</t>
    </rPh>
    <rPh sb="25" eb="27">
      <t>モジ</t>
    </rPh>
    <rPh sb="35" eb="36">
      <t>スベ</t>
    </rPh>
    <rPh sb="37" eb="39">
      <t>サクジョ</t>
    </rPh>
    <phoneticPr fontId="1"/>
  </si>
  <si>
    <t>選択した範囲内の番号を任意の方向へ順番に振る（1ずつ増加）</t>
    <rPh sb="0" eb="2">
      <t>センタク</t>
    </rPh>
    <rPh sb="4" eb="7">
      <t>ハンイナイ</t>
    </rPh>
    <rPh sb="8" eb="10">
      <t>バンゴウ</t>
    </rPh>
    <rPh sb="11" eb="13">
      <t>ニンイ</t>
    </rPh>
    <rPh sb="14" eb="16">
      <t>ホウコウ</t>
    </rPh>
    <rPh sb="17" eb="19">
      <t>ジュンバン</t>
    </rPh>
    <rPh sb="20" eb="21">
      <t>フ</t>
    </rPh>
    <rPh sb="26" eb="27">
      <t>ゾウ</t>
    </rPh>
    <rPh sb="27" eb="28">
      <t>カ</t>
    </rPh>
    <phoneticPr fontId="1"/>
  </si>
  <si>
    <t>文字内容を入れ替え</t>
    <rPh sb="0" eb="4">
      <t>モジナイヨウ</t>
    </rPh>
    <rPh sb="5" eb="6">
      <t>イ</t>
    </rPh>
    <rPh sb="7" eb="8">
      <t>カ</t>
    </rPh>
    <phoneticPr fontId="1"/>
  </si>
  <si>
    <t>ブロック内の文字スタイルとレイヤーをカレントに変換する</t>
    <rPh sb="4" eb="5">
      <t>ナイ</t>
    </rPh>
    <rPh sb="6" eb="8">
      <t>モジ</t>
    </rPh>
    <rPh sb="23" eb="25">
      <t>ヘンカン</t>
    </rPh>
    <phoneticPr fontId="1"/>
  </si>
  <si>
    <t>ロックを全て強制解除</t>
    <rPh sb="6" eb="8">
      <t>キョウセイ</t>
    </rPh>
    <rPh sb="8" eb="10">
      <t>カイジョ</t>
    </rPh>
    <phoneticPr fontId="2"/>
  </si>
  <si>
    <t>ブロック・属性の内部の図形の色・線種をBylayerもしくはByblockに変更</t>
  </si>
  <si>
    <t>非表示、フリーズ、ロックを全て解除</t>
    <rPh sb="0" eb="3">
      <t>ヒヒョウジ</t>
    </rPh>
    <rPh sb="15" eb="17">
      <t>カイジョ</t>
    </rPh>
    <phoneticPr fontId="2"/>
  </si>
  <si>
    <t>異なる名前のブロックを複数選択し、任意の基点から縦か横に任意の距離で並べられるようにしたい</t>
    <rPh sb="0" eb="1">
      <t>コト</t>
    </rPh>
    <rPh sb="3" eb="5">
      <t>ナマエ</t>
    </rPh>
    <rPh sb="11" eb="13">
      <t>フクスウ</t>
    </rPh>
    <rPh sb="13" eb="15">
      <t>センタク</t>
    </rPh>
    <rPh sb="17" eb="19">
      <t>ニンイ</t>
    </rPh>
    <rPh sb="20" eb="22">
      <t>キテン</t>
    </rPh>
    <rPh sb="24" eb="25">
      <t>タテ</t>
    </rPh>
    <rPh sb="26" eb="27">
      <t>ヨコ</t>
    </rPh>
    <rPh sb="28" eb="30">
      <t>ニンイ</t>
    </rPh>
    <rPh sb="31" eb="33">
      <t>キョリ</t>
    </rPh>
    <rPh sb="34" eb="35">
      <t>ナラ</t>
    </rPh>
    <phoneticPr fontId="2"/>
  </si>
  <si>
    <t>ブロックを選択しリネームして追加挿入※尺度、回転つき</t>
    <rPh sb="5" eb="7">
      <t>センタク</t>
    </rPh>
    <rPh sb="14" eb="16">
      <t>ツイカ</t>
    </rPh>
    <rPh sb="16" eb="18">
      <t>ソウニュウ</t>
    </rPh>
    <rPh sb="19" eb="21">
      <t>シャクド</t>
    </rPh>
    <rPh sb="22" eb="24">
      <t>カイテン</t>
    </rPh>
    <phoneticPr fontId="2"/>
  </si>
  <si>
    <t>選択したブロックを挿入</t>
    <rPh sb="0" eb="2">
      <t>センタク</t>
    </rPh>
    <rPh sb="9" eb="11">
      <t>ソウニュウ</t>
    </rPh>
    <phoneticPr fontId="2"/>
  </si>
  <si>
    <t>ブロックを選択しブロック内図形を重複削除する</t>
    <rPh sb="5" eb="7">
      <t>センタク</t>
    </rPh>
    <rPh sb="12" eb="13">
      <t>ナイ</t>
    </rPh>
    <rPh sb="13" eb="15">
      <t>ズケイ</t>
    </rPh>
    <rPh sb="16" eb="18">
      <t>チョウフク</t>
    </rPh>
    <rPh sb="18" eb="20">
      <t>サクジョ</t>
    </rPh>
    <phoneticPr fontId="1"/>
  </si>
  <si>
    <t>ブロックを選択しブロック内文字を削除する</t>
    <rPh sb="5" eb="7">
      <t>センタク</t>
    </rPh>
    <rPh sb="12" eb="13">
      <t>ナイ</t>
    </rPh>
    <rPh sb="13" eb="15">
      <t>モジ</t>
    </rPh>
    <rPh sb="16" eb="18">
      <t>サクジョ</t>
    </rPh>
    <phoneticPr fontId="1"/>
  </si>
  <si>
    <t>ブロック一括再定義</t>
    <rPh sb="4" eb="6">
      <t>イッカツ</t>
    </rPh>
    <rPh sb="6" eb="9">
      <t>サイテイギ</t>
    </rPh>
    <phoneticPr fontId="1"/>
  </si>
  <si>
    <t>入れ子のブロックのみを選択して、選択したブロックまたは、ブロック内の入れ子ブロックのどちらかを、一度だけ分解させる</t>
    <rPh sb="0" eb="1">
      <t>イ</t>
    </rPh>
    <rPh sb="2" eb="3">
      <t>コ</t>
    </rPh>
    <rPh sb="11" eb="13">
      <t>センタク</t>
    </rPh>
    <rPh sb="16" eb="18">
      <t>センタク</t>
    </rPh>
    <rPh sb="32" eb="33">
      <t>ナイ</t>
    </rPh>
    <rPh sb="34" eb="35">
      <t>イ</t>
    </rPh>
    <rPh sb="36" eb="37">
      <t>コ</t>
    </rPh>
    <rPh sb="48" eb="50">
      <t>イチド</t>
    </rPh>
    <rPh sb="52" eb="54">
      <t>ブンカイ</t>
    </rPh>
    <phoneticPr fontId="2"/>
  </si>
  <si>
    <t>寸法スタイル変更したが、ブロック内の寸法内容が変更できない場合に強制更新する</t>
    <rPh sb="16" eb="17">
      <t>ナイ</t>
    </rPh>
    <rPh sb="18" eb="20">
      <t>スンポウ</t>
    </rPh>
    <rPh sb="20" eb="22">
      <t>ナイヨウ</t>
    </rPh>
    <rPh sb="23" eb="25">
      <t>ヘンコウ</t>
    </rPh>
    <rPh sb="29" eb="31">
      <t>バアイ</t>
    </rPh>
    <rPh sb="32" eb="34">
      <t>キョウセイ</t>
    </rPh>
    <rPh sb="34" eb="36">
      <t>コウシン</t>
    </rPh>
    <phoneticPr fontId="1"/>
  </si>
  <si>
    <t>ブロック内のレイヤーや色を変更する</t>
    <rPh sb="4" eb="5">
      <t>ナイ</t>
    </rPh>
    <rPh sb="11" eb="12">
      <t>イロ</t>
    </rPh>
    <rPh sb="13" eb="15">
      <t>ヘンコウ</t>
    </rPh>
    <phoneticPr fontId="1"/>
  </si>
  <si>
    <t>選択したブロック定義内の全図形を現在のレイヤーに変更</t>
    <rPh sb="13" eb="15">
      <t>ズケイ</t>
    </rPh>
    <phoneticPr fontId="1"/>
  </si>
  <si>
    <t>匿名ブロックを正規ブロックに変換</t>
    <rPh sb="0" eb="2">
      <t>トクメイ</t>
    </rPh>
    <rPh sb="7" eb="9">
      <t>セイキ</t>
    </rPh>
    <rPh sb="14" eb="16">
      <t>ヘンカン</t>
    </rPh>
    <phoneticPr fontId="1"/>
  </si>
  <si>
    <t>ブロック内をフラット化する</t>
    <rPh sb="4" eb="5">
      <t>ナイ</t>
    </rPh>
    <rPh sb="10" eb="11">
      <t>カ</t>
    </rPh>
    <phoneticPr fontId="1"/>
  </si>
  <si>
    <t>連続してWBLOCKができる。図形を選択、名前を付ける、基点設定、保存を繰り返し何度でもできる</t>
    <rPh sb="0" eb="2">
      <t>レンゾク</t>
    </rPh>
    <rPh sb="15" eb="17">
      <t>ズケイ</t>
    </rPh>
    <rPh sb="18" eb="20">
      <t>センタク</t>
    </rPh>
    <rPh sb="21" eb="23">
      <t>ナマエ</t>
    </rPh>
    <rPh sb="24" eb="25">
      <t>ツ</t>
    </rPh>
    <rPh sb="28" eb="32">
      <t>キテンセッテイ</t>
    </rPh>
    <rPh sb="33" eb="35">
      <t>ホゾン</t>
    </rPh>
    <rPh sb="36" eb="37">
      <t>ク</t>
    </rPh>
    <rPh sb="38" eb="39">
      <t>カエ</t>
    </rPh>
    <rPh sb="40" eb="42">
      <t>ナンド</t>
    </rPh>
    <phoneticPr fontId="1"/>
  </si>
  <si>
    <t>ブロック連続挿入</t>
    <rPh sb="4" eb="6">
      <t>レンゾク</t>
    </rPh>
    <rPh sb="6" eb="8">
      <t>ソウニュウ</t>
    </rPh>
    <phoneticPr fontId="1"/>
  </si>
  <si>
    <t>ブロック置換（操作簡易版）</t>
    <rPh sb="4" eb="6">
      <t>チカン</t>
    </rPh>
    <rPh sb="7" eb="9">
      <t>ソウサ</t>
    </rPh>
    <rPh sb="9" eb="11">
      <t>カンイ</t>
    </rPh>
    <rPh sb="11" eb="12">
      <t>バン</t>
    </rPh>
    <phoneticPr fontId="1"/>
  </si>
  <si>
    <t>入れ子ブロックのレイヤーを変更</t>
    <rPh sb="0" eb="1">
      <t>イ</t>
    </rPh>
    <rPh sb="2" eb="3">
      <t>コ</t>
    </rPh>
    <rPh sb="13" eb="15">
      <t>ヘンコウ</t>
    </rPh>
    <phoneticPr fontId="1"/>
  </si>
  <si>
    <t>ブロックをWBLOCKし名前を付け入れ子状態にし、挿入する。※入れ子ブロックを作成するコマンド</t>
    <rPh sb="12" eb="14">
      <t>ナマエ</t>
    </rPh>
    <rPh sb="15" eb="16">
      <t>ツ</t>
    </rPh>
    <rPh sb="17" eb="18">
      <t>イ</t>
    </rPh>
    <rPh sb="19" eb="20">
      <t>コ</t>
    </rPh>
    <rPh sb="20" eb="22">
      <t>ジョウタイ</t>
    </rPh>
    <rPh sb="25" eb="27">
      <t>ソウニュウ</t>
    </rPh>
    <rPh sb="31" eb="32">
      <t>イ</t>
    </rPh>
    <rPh sb="33" eb="34">
      <t>コ</t>
    </rPh>
    <rPh sb="39" eb="41">
      <t>サクセイ</t>
    </rPh>
    <phoneticPr fontId="1"/>
  </si>
  <si>
    <t>図面内ブロックの一括名前変更</t>
    <rPh sb="0" eb="3">
      <t>ズメンナイ</t>
    </rPh>
    <rPh sb="8" eb="10">
      <t>イッカツ</t>
    </rPh>
    <rPh sb="10" eb="12">
      <t>ナマエ</t>
    </rPh>
    <rPh sb="12" eb="14">
      <t>ヘンコウ</t>
    </rPh>
    <phoneticPr fontId="1"/>
  </si>
  <si>
    <t>選択ブロック内の入れ子ブロックのみ全て削除</t>
    <rPh sb="0" eb="2">
      <t>センタク</t>
    </rPh>
    <rPh sb="6" eb="7">
      <t>ナイ</t>
    </rPh>
    <rPh sb="8" eb="9">
      <t>イ</t>
    </rPh>
    <rPh sb="10" eb="11">
      <t>コ</t>
    </rPh>
    <rPh sb="17" eb="18">
      <t>スベ</t>
    </rPh>
    <rPh sb="19" eb="21">
      <t>サクジョ</t>
    </rPh>
    <phoneticPr fontId="1"/>
  </si>
  <si>
    <t>選択ブロック内オブジェクト全てのレイヤーを任意のレイヤーに強制変換する</t>
    <rPh sb="0" eb="2">
      <t>センタク</t>
    </rPh>
    <rPh sb="6" eb="7">
      <t>ナイ</t>
    </rPh>
    <rPh sb="13" eb="14">
      <t>スベ</t>
    </rPh>
    <rPh sb="21" eb="23">
      <t>ニンイ</t>
    </rPh>
    <rPh sb="29" eb="31">
      <t>キョウセイ</t>
    </rPh>
    <rPh sb="31" eb="33">
      <t>ヘンカン</t>
    </rPh>
    <phoneticPr fontId="1"/>
  </si>
  <si>
    <t>任意のブロック内に、別のブロックを基点0,0挿入</t>
    <rPh sb="7" eb="8">
      <t>ナイ</t>
    </rPh>
    <rPh sb="10" eb="11">
      <t>ベツ</t>
    </rPh>
    <rPh sb="17" eb="19">
      <t>キテン</t>
    </rPh>
    <rPh sb="22" eb="24">
      <t>ソウニュウ</t>
    </rPh>
    <phoneticPr fontId="1"/>
  </si>
  <si>
    <t>ブロックや入れ子ブロック内もハッチング最背面に変更</t>
    <rPh sb="5" eb="6">
      <t>イ</t>
    </rPh>
    <rPh sb="7" eb="8">
      <t>コ</t>
    </rPh>
    <rPh sb="12" eb="13">
      <t>ナイ</t>
    </rPh>
    <rPh sb="19" eb="22">
      <t>サイハイメン</t>
    </rPh>
    <rPh sb="23" eb="25">
      <t>ヘンコウ</t>
    </rPh>
    <phoneticPr fontId="1"/>
  </si>
  <si>
    <t>ハッチングとそのエリアを同時に作成</t>
    <rPh sb="12" eb="14">
      <t>ドウジ</t>
    </rPh>
    <rPh sb="15" eb="17">
      <t>サクセイ</t>
    </rPh>
    <phoneticPr fontId="1"/>
  </si>
  <si>
    <t>求積図の一部自動作図と調整（寸法作図調整+番号ブロック追加）</t>
    <rPh sb="0" eb="3">
      <t>キュウセキズ</t>
    </rPh>
    <rPh sb="4" eb="6">
      <t>イチブ</t>
    </rPh>
    <rPh sb="6" eb="8">
      <t>ジドウ</t>
    </rPh>
    <rPh sb="8" eb="10">
      <t>サクズ</t>
    </rPh>
    <rPh sb="11" eb="13">
      <t>チョウセイ</t>
    </rPh>
    <rPh sb="14" eb="16">
      <t>スンポウ</t>
    </rPh>
    <rPh sb="16" eb="18">
      <t>サクズ</t>
    </rPh>
    <rPh sb="18" eb="20">
      <t>チョウセイ</t>
    </rPh>
    <rPh sb="21" eb="23">
      <t>バンゴウ</t>
    </rPh>
    <rPh sb="27" eb="29">
      <t>ツイカ</t>
    </rPh>
    <phoneticPr fontId="1"/>
  </si>
  <si>
    <t>ポリラインの中心に頂点をつくる</t>
    <rPh sb="6" eb="8">
      <t>チュウシン</t>
    </rPh>
    <rPh sb="9" eb="11">
      <t>チョウテン</t>
    </rPh>
    <phoneticPr fontId="1"/>
  </si>
  <si>
    <t>ブロックやオブジェクト群の周囲をポリライン化する</t>
    <rPh sb="11" eb="12">
      <t>グン</t>
    </rPh>
    <rPh sb="13" eb="15">
      <t>シュウイ</t>
    </rPh>
    <rPh sb="21" eb="22">
      <t>カ</t>
    </rPh>
    <phoneticPr fontId="1"/>
  </si>
  <si>
    <t>ポリラインを最背面にする。（HATCHTOBACKのポリラン版）</t>
    <rPh sb="6" eb="9">
      <t>サイハイメン</t>
    </rPh>
    <rPh sb="30" eb="31">
      <t>バン</t>
    </rPh>
    <phoneticPr fontId="1"/>
  </si>
  <si>
    <t>絶対座標の基点0,0でコピークリップする</t>
  </si>
  <si>
    <t>絶対座標の基点0,0に貼り付ける</t>
  </si>
  <si>
    <t>絶対座標の基点0,0で切り取る</t>
    <rPh sb="11" eb="12">
      <t>キ</t>
    </rPh>
    <rPh sb="13" eb="14">
      <t>ト</t>
    </rPh>
    <phoneticPr fontId="1"/>
  </si>
  <si>
    <t>基点切り取り</t>
    <rPh sb="0" eb="2">
      <t>キテン</t>
    </rPh>
    <rPh sb="2" eb="3">
      <t>キ</t>
    </rPh>
    <rPh sb="4" eb="5">
      <t>ト</t>
    </rPh>
    <phoneticPr fontId="1"/>
  </si>
  <si>
    <t>複数レイアウト内の表示を一括で全て全画面にする</t>
    <rPh sb="0" eb="2">
      <t>フクスウ</t>
    </rPh>
    <rPh sb="7" eb="8">
      <t>ナイ</t>
    </rPh>
    <rPh sb="9" eb="11">
      <t>ヒョウジ</t>
    </rPh>
    <rPh sb="12" eb="14">
      <t>イッカツ</t>
    </rPh>
    <rPh sb="15" eb="16">
      <t>スベ</t>
    </rPh>
    <rPh sb="17" eb="20">
      <t>ゼンガメン</t>
    </rPh>
    <phoneticPr fontId="1"/>
  </si>
  <si>
    <t>レイアウト連続作成</t>
    <rPh sb="5" eb="9">
      <t>レンゾクサクセイ</t>
    </rPh>
    <phoneticPr fontId="1"/>
  </si>
  <si>
    <t>ブロック内の線種尺度を変更する</t>
    <rPh sb="6" eb="10">
      <t>センシュシャクド</t>
    </rPh>
    <rPh sb="11" eb="13">
      <t>ヘンコウ</t>
    </rPh>
    <phoneticPr fontId="1"/>
  </si>
  <si>
    <t>レイヤー、文字・寸法スタイル名を素早く新規追加</t>
    <rPh sb="5" eb="7">
      <t>モジ</t>
    </rPh>
    <rPh sb="8" eb="10">
      <t>スンポウ</t>
    </rPh>
    <rPh sb="14" eb="15">
      <t>メイ</t>
    </rPh>
    <rPh sb="16" eb="18">
      <t>スバヤ</t>
    </rPh>
    <rPh sb="19" eb="21">
      <t>シンキ</t>
    </rPh>
    <rPh sb="21" eb="23">
      <t>ツイカ</t>
    </rPh>
    <phoneticPr fontId="1"/>
  </si>
  <si>
    <t>連続尺度変更</t>
    <rPh sb="0" eb="2">
      <t>レンゾク</t>
    </rPh>
    <rPh sb="2" eb="4">
      <t>シャクド</t>
    </rPh>
    <rPh sb="4" eb="6">
      <t>ヘンコウ</t>
    </rPh>
    <phoneticPr fontId="1"/>
  </si>
  <si>
    <t>即グループ化（作成日時がグループ名になる）</t>
    <rPh sb="7" eb="9">
      <t>サクセイ</t>
    </rPh>
    <rPh sb="9" eb="11">
      <t>ニチジ</t>
    </rPh>
    <rPh sb="16" eb="17">
      <t>メイ</t>
    </rPh>
    <phoneticPr fontId="1"/>
  </si>
  <si>
    <t>チェック図作成</t>
    <rPh sb="4" eb="5">
      <t>ズ</t>
    </rPh>
    <rPh sb="5" eb="7">
      <t>サクセイ</t>
    </rPh>
    <phoneticPr fontId="1"/>
  </si>
  <si>
    <t>車の軌跡作成</t>
    <rPh sb="0" eb="1">
      <t>クルマ</t>
    </rPh>
    <rPh sb="2" eb="4">
      <t>キセキ</t>
    </rPh>
    <rPh sb="4" eb="6">
      <t>サクセイ</t>
    </rPh>
    <phoneticPr fontId="1"/>
  </si>
  <si>
    <t>選択線の即ポリライン化</t>
  </si>
  <si>
    <t>指定距離移動コピー</t>
    <rPh sb="0" eb="2">
      <t>シテイ</t>
    </rPh>
    <rPh sb="2" eb="4">
      <t>キョリ</t>
    </rPh>
    <rPh sb="4" eb="6">
      <t>イドウ</t>
    </rPh>
    <phoneticPr fontId="1"/>
  </si>
  <si>
    <t>SUPPORTフォルダを開きたい</t>
    <rPh sb="12" eb="13">
      <t>ヒラ</t>
    </rPh>
    <phoneticPr fontId="2"/>
  </si>
  <si>
    <t>バラバラな位置にある寸法線を、原点の高さに一瞬で揃える</t>
  </si>
  <si>
    <t>選択順に文字列を合体させる</t>
  </si>
  <si>
    <t>文字の内容を選択した複数の文字に一括変換</t>
  </si>
  <si>
    <t>選択した画層以外をロックする</t>
  </si>
  <si>
    <t>選択した画層以外を非表示かつロックする</t>
  </si>
  <si>
    <t>ブロックの位置はそのまま、見た目も変わらず、ブロック内の指定した点を新しい基点にする。</t>
  </si>
  <si>
    <t>選択ブロックのみリネーム（選択していない同名ブロックはリネームされずそのまま）</t>
  </si>
  <si>
    <t>ブロック分解挿入</t>
  </si>
  <si>
    <t>ポリラインの寸法を、キリの良い数値（0.5単位など）に強制的に丸めて整列させる</t>
  </si>
  <si>
    <t>ポリラインの角（かど）を調べ、直角(90°)や直線(180°)ではない『中途半端な角度』をあぶり出す</t>
  </si>
  <si>
    <t>普通の文字内容をブロック属性文字へコピーする</t>
  </si>
  <si>
    <t>任意の範囲の任意オブジェクトを全て削除</t>
  </si>
  <si>
    <t>260202</t>
  </si>
  <si>
    <t>260129</t>
  </si>
  <si>
    <t>260116</t>
  </si>
  <si>
    <t>260114</t>
  </si>
  <si>
    <t>260310</t>
  </si>
  <si>
    <t>260219</t>
  </si>
  <si>
    <t>260204</t>
  </si>
  <si>
    <t>260130</t>
  </si>
  <si>
    <t>260128</t>
  </si>
  <si>
    <t>260120</t>
  </si>
  <si>
    <t>260306</t>
  </si>
  <si>
    <t>260218</t>
  </si>
  <si>
    <t>260216</t>
  </si>
  <si>
    <t>260214</t>
  </si>
  <si>
    <t>260212</t>
  </si>
  <si>
    <t>260313</t>
  </si>
  <si>
    <t>260302</t>
  </si>
  <si>
    <t>260108</t>
  </si>
  <si>
    <t>260305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</si>
</sst>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ＭＳ Ｐゴシック"/>
      <family val="2"/>
      <scheme val="minor"/>
    </font>
    <font>
      <b/>
      <sz val="11"/>
      <name val="ＭＳ Ｐゴシック"/>
      <family val="3"/>
      <charset val="128"/>
    </font>
    <font>
      <sz val="11"/>
      <color theme="1"/>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vertical="center"/>
    </xf>
    <xf numFmtId="14" fontId="0" fillId="0" borderId="0" xfId="0" applyNumberFormat="1" applyAlignment="1">
      <alignment horizontal="center" vertical="center"/>
    </xf>
    <xf numFmtId="0" fontId="0" fillId="0" borderId="0" xfId="0" applyAlignment="1">
      <alignment horizontal="center" vertical="center"/>
    </xf>
    <xf numFmtId="0" fontId="1" fillId="0" borderId="0" xfId="0" applyFont="1" applyAlignment="1">
      <alignment vertical="center"/>
    </xf>
    <xf numFmtId="0" fontId="0" fillId="0" borderId="0" xfId="0" applyAlignment="1">
      <alignment vertical="center"/>
    </xf>
    <xf numFmtId="49" fontId="0" fillId="0" borderId="0" xfId="0" applyNumberFormat="1" applyAlignment="1">
      <alignment horizontal="center"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9"/>
  <sheetViews>
    <sheetView tabSelected="1" topLeftCell="G35" workbookViewId="0">
      <selection activeCell="P2" sqref="P2:P71"/>
    </sheetView>
  </sheetViews>
  <sheetFormatPr defaultRowHeight="13.5" x14ac:dyDescent="0.15"/>
  <cols>
    <col min="1" max="1" width="6" style="5" customWidth="1"/>
    <col min="2" max="3" width="14" style="5" customWidth="1"/>
    <col min="4" max="4" width="20" style="5" customWidth="1"/>
    <col min="5" max="5" width="14" style="5" customWidth="1"/>
    <col min="6" max="6" width="45" style="5" customWidth="1"/>
    <col min="7" max="7" width="25" style="5" customWidth="1"/>
    <col min="8" max="8" width="18" style="5" customWidth="1"/>
    <col min="9" max="10" width="22" style="5" customWidth="1"/>
    <col min="11" max="12" width="18" style="5" customWidth="1"/>
    <col min="13" max="13" width="12" style="3" customWidth="1"/>
    <col min="14" max="14" width="14" style="3" customWidth="1"/>
    <col min="15" max="15" width="10" style="3" customWidth="1"/>
    <col min="16" max="16" width="60" style="5" customWidth="1"/>
    <col min="17" max="16384" width="9" style="5"/>
  </cols>
  <sheetData>
    <row r="1" spans="1:16" x14ac:dyDescent="0.15">
      <c r="A1" s="4" t="s">
        <v>0</v>
      </c>
      <c r="B1" s="4" t="s">
        <v>1</v>
      </c>
      <c r="C1" s="4" t="s">
        <v>2</v>
      </c>
      <c r="D1" s="4" t="s">
        <v>3</v>
      </c>
      <c r="E1" s="4" t="s">
        <v>4</v>
      </c>
      <c r="F1" s="4" t="s">
        <v>5</v>
      </c>
      <c r="G1" s="4" t="s">
        <v>6</v>
      </c>
      <c r="H1" s="4" t="s">
        <v>7</v>
      </c>
      <c r="I1" s="4" t="s">
        <v>8</v>
      </c>
      <c r="J1" s="4" t="s">
        <v>9</v>
      </c>
      <c r="K1" s="4" t="s">
        <v>10</v>
      </c>
      <c r="L1" s="4" t="s">
        <v>11</v>
      </c>
      <c r="M1" s="1" t="s">
        <v>12</v>
      </c>
      <c r="N1" s="1" t="s">
        <v>13</v>
      </c>
      <c r="O1" s="1" t="s">
        <v>14</v>
      </c>
      <c r="P1" s="4" t="s">
        <v>15</v>
      </c>
    </row>
    <row r="2" spans="1:16" x14ac:dyDescent="0.15">
      <c r="A2" s="5">
        <v>1</v>
      </c>
      <c r="B2" s="5" t="s">
        <v>25</v>
      </c>
      <c r="C2" s="5" t="s">
        <v>94</v>
      </c>
      <c r="D2" s="5" t="s">
        <v>117</v>
      </c>
      <c r="E2" s="5" t="s">
        <v>25</v>
      </c>
      <c r="F2" s="5" t="str">
        <f>"img/steps/"&amp;LOWER(B2)&amp;"_1.png|img/steps/"&amp;LOWER(B2)&amp;"_2.png|img/steps/"&amp;LOWER(B2)&amp;"_3.png"</f>
        <v>img/steps/dim1000_1.png|img/steps/dim1000_2.png|img/steps/dim1000_3.png</v>
      </c>
      <c r="G2" s="5" t="s">
        <v>16</v>
      </c>
      <c r="H2" s="5" t="s">
        <v>94</v>
      </c>
      <c r="I2" s="5" t="str">
        <f>"img/before/"&amp;LOWER(B2)&amp;".jpg"</f>
        <v>img/before/dim1000.jpg</v>
      </c>
      <c r="J2" s="5" t="str">
        <f>"img/after/"&amp;LOWER(B2)&amp;".jpg"</f>
        <v>img/after/dim1000.jpg</v>
      </c>
      <c r="K2" s="5" t="str">
        <f>"lisp/"&amp;LOWER(B2)&amp;".lsp"</f>
        <v>lisp/dim1000.lsp</v>
      </c>
      <c r="L2" s="5" t="str">
        <f>"code/"&amp;LOWER(B2)&amp;".lsp"</f>
        <v>code/dim1000.lsp</v>
      </c>
      <c r="M2" s="6">
        <v>250416</v>
      </c>
      <c r="N2" s="3" t="s">
        <v>18</v>
      </c>
      <c r="O2" s="3" t="s">
        <v>17</v>
      </c>
      <c r="P2" s="5" t="str">
        <f>A2 &amp; "," &amp; B2 &amp; "," &amp; C2 &amp; "," &amp; D2 &amp; "," &amp; E2 &amp; "," &amp; F2 &amp; "," &amp; G2 &amp; "," &amp; H2 &amp; "," &amp; I2 &amp; "," &amp; J2 &amp; "," &amp; K2 &amp; "," &amp; L2 &amp; "," &amp; M2 &amp; "," &amp; N2 &amp; "," &amp; O2</f>
        <v>1,DIM1000,寸法,ちょい足し寸法　　縦か横の1000mmの寸法が任意の点側に作図される,DIM1000,img/steps/dim1000_1.png|img/steps/dim1000_2.png|img/steps/dim1000_3.png,手順1|手順2|手順3,寸法,img/before/dim1000.jpg,img/after/dim1000.jpg,lisp/dim1000.lsp,code/dim1000.lsp,250416,北川,stable</v>
      </c>
    </row>
    <row r="3" spans="1:16" x14ac:dyDescent="0.15">
      <c r="A3" s="5">
        <v>2</v>
      </c>
      <c r="B3" s="5" t="s">
        <v>26</v>
      </c>
      <c r="C3" s="5" t="s">
        <v>94</v>
      </c>
      <c r="D3" s="5" t="s">
        <v>118</v>
      </c>
      <c r="E3" s="5" t="s">
        <v>26</v>
      </c>
      <c r="F3" s="5" t="str">
        <f t="shared" ref="F3:F66" si="0">"img/steps/"&amp;LOWER(B3)&amp;"_1.png|img/steps/"&amp;LOWER(B3)&amp;"_2.png|img/steps/"&amp;LOWER(B3)&amp;"_3.png"</f>
        <v>img/steps/pldim_1.png|img/steps/pldim_2.png|img/steps/pldim_3.png</v>
      </c>
      <c r="G3" s="5" t="s">
        <v>16</v>
      </c>
      <c r="H3" s="5" t="s">
        <v>94</v>
      </c>
      <c r="I3" s="5" t="str">
        <f t="shared" ref="I3:I66" si="1">"img/before/"&amp;LOWER(B3)&amp;".jpg"</f>
        <v>img/before/pldim.jpg</v>
      </c>
      <c r="J3" s="5" t="str">
        <f t="shared" ref="J3:J66" si="2">"img/after/"&amp;LOWER(B3)&amp;".jpg"</f>
        <v>img/after/pldim.jpg</v>
      </c>
      <c r="K3" s="5" t="str">
        <f t="shared" ref="K3:K66" si="3">"lisp/"&amp;LOWER(B3)&amp;".lsp"</f>
        <v>lisp/pldim.lsp</v>
      </c>
      <c r="L3" s="5" t="str">
        <f t="shared" ref="L3:L66" si="4">"code/"&amp;LOWER(B3)&amp;".lsp"</f>
        <v>code/pldim.lsp</v>
      </c>
      <c r="M3" s="6" t="s">
        <v>186</v>
      </c>
      <c r="N3" s="3" t="s">
        <v>18</v>
      </c>
      <c r="O3" s="3" t="s">
        <v>17</v>
      </c>
      <c r="P3" s="5" t="str">
        <f t="shared" ref="P3:P66" si="5">A3 &amp; "," &amp; B3 &amp; "," &amp; C3 &amp; "," &amp; D3 &amp; "," &amp; E3 &amp; "," &amp; F3 &amp; "," &amp; G3 &amp; "," &amp; H3 &amp; "," &amp; I3 &amp; "," &amp; J3 &amp; "," &amp; K3 &amp; "," &amp; L3 &amp; "," &amp; M3 &amp; "," &amp; N3 &amp; "," &amp; O3</f>
        <v>2,PLDIM,寸法,ポリラインに寸法を記入,PLDIM,img/steps/pldim_1.png|img/steps/pldim_2.png|img/steps/pldim_3.png,手順1|手順2|手順3,寸法,img/before/pldim.jpg,img/after/pldim.jpg,lisp/pldim.lsp,code/pldim.lsp,260202,北川,stable</v>
      </c>
    </row>
    <row r="4" spans="1:16" x14ac:dyDescent="0.15">
      <c r="A4" s="5">
        <v>3</v>
      </c>
      <c r="B4" s="5" t="s">
        <v>27</v>
      </c>
      <c r="C4" s="5" t="s">
        <v>94</v>
      </c>
      <c r="D4" s="5" t="s">
        <v>174</v>
      </c>
      <c r="E4" s="5" t="s">
        <v>27</v>
      </c>
      <c r="F4" s="5" t="str">
        <f t="shared" si="0"/>
        <v>img/steps/dimfit_1.png|img/steps/dimfit_2.png|img/steps/dimfit_3.png</v>
      </c>
      <c r="G4" s="5" t="s">
        <v>16</v>
      </c>
      <c r="H4" s="5" t="s">
        <v>94</v>
      </c>
      <c r="I4" s="5" t="str">
        <f t="shared" si="1"/>
        <v>img/before/dimfit.jpg</v>
      </c>
      <c r="J4" s="5" t="str">
        <f t="shared" si="2"/>
        <v>img/after/dimfit.jpg</v>
      </c>
      <c r="K4" s="5" t="str">
        <f t="shared" si="3"/>
        <v>lisp/dimfit.lsp</v>
      </c>
      <c r="L4" s="5" t="str">
        <f t="shared" si="4"/>
        <v>code/dimfit.lsp</v>
      </c>
      <c r="M4" s="6" t="s">
        <v>187</v>
      </c>
      <c r="N4" s="3" t="s">
        <v>18</v>
      </c>
      <c r="O4" s="3" t="s">
        <v>17</v>
      </c>
      <c r="P4" s="5" t="str">
        <f t="shared" si="5"/>
        <v>3,DIMFIT,寸法,バラバラな位置にある寸法線を、原点の高さに一瞬で揃える,DIMFIT,img/steps/dimfit_1.png|img/steps/dimfit_2.png|img/steps/dimfit_3.png,手順1|手順2|手順3,寸法,img/before/dimfit.jpg,img/after/dimfit.jpg,lisp/dimfit.lsp,code/dimfit.lsp,260129,北川,stable</v>
      </c>
    </row>
    <row r="5" spans="1:16" x14ac:dyDescent="0.15">
      <c r="A5" s="5">
        <v>4</v>
      </c>
      <c r="B5" s="5" t="s">
        <v>28</v>
      </c>
      <c r="C5" s="5" t="s">
        <v>94</v>
      </c>
      <c r="D5" s="5" t="s">
        <v>119</v>
      </c>
      <c r="E5" s="5" t="s">
        <v>28</v>
      </c>
      <c r="F5" s="5" t="str">
        <f t="shared" si="0"/>
        <v>img/steps/dps_1.png|img/steps/dps_2.png|img/steps/dps_3.png</v>
      </c>
      <c r="G5" s="5" t="s">
        <v>16</v>
      </c>
      <c r="H5" s="5" t="s">
        <v>94</v>
      </c>
      <c r="I5" s="5" t="str">
        <f t="shared" si="1"/>
        <v>img/before/dps.jpg</v>
      </c>
      <c r="J5" s="5" t="str">
        <f t="shared" si="2"/>
        <v>img/after/dps.jpg</v>
      </c>
      <c r="K5" s="5" t="str">
        <f t="shared" si="3"/>
        <v>lisp/dps.lsp</v>
      </c>
      <c r="L5" s="5" t="str">
        <f t="shared" si="4"/>
        <v>code/dps.lsp</v>
      </c>
      <c r="M5" s="6" t="s">
        <v>188</v>
      </c>
      <c r="N5" s="3" t="s">
        <v>18</v>
      </c>
      <c r="O5" s="3" t="s">
        <v>17</v>
      </c>
      <c r="P5" s="5" t="str">
        <f t="shared" si="5"/>
        <v>4,DPS,寸法,寸法値の先頭と末尾に文字を追加したい,DPS,img/steps/dps_1.png|img/steps/dps_2.png|img/steps/dps_3.png,手順1|手順2|手順3,寸法,img/before/dps.jpg,img/after/dps.jpg,lisp/dps.lsp,code/dps.lsp,260116,北川,stable</v>
      </c>
    </row>
    <row r="6" spans="1:16" x14ac:dyDescent="0.15">
      <c r="A6" s="5">
        <v>5</v>
      </c>
      <c r="B6" s="5" t="s">
        <v>29</v>
      </c>
      <c r="C6" s="5" t="s">
        <v>94</v>
      </c>
      <c r="D6" s="5" t="s">
        <v>120</v>
      </c>
      <c r="E6" s="5" t="s">
        <v>29</v>
      </c>
      <c r="F6" s="5" t="str">
        <f t="shared" si="0"/>
        <v>img/steps/djoin_1.png|img/steps/djoin_2.png|img/steps/djoin_3.png</v>
      </c>
      <c r="G6" s="5" t="s">
        <v>16</v>
      </c>
      <c r="H6" s="5" t="s">
        <v>94</v>
      </c>
      <c r="I6" s="5" t="str">
        <f t="shared" si="1"/>
        <v>img/before/djoin.jpg</v>
      </c>
      <c r="J6" s="5" t="str">
        <f t="shared" si="2"/>
        <v>img/after/djoin.jpg</v>
      </c>
      <c r="K6" s="5" t="str">
        <f t="shared" si="3"/>
        <v>lisp/djoin.lsp</v>
      </c>
      <c r="L6" s="5" t="str">
        <f t="shared" si="4"/>
        <v>code/djoin.lsp</v>
      </c>
      <c r="M6" s="6" t="s">
        <v>189</v>
      </c>
      <c r="N6" s="3" t="s">
        <v>18</v>
      </c>
      <c r="O6" s="3" t="s">
        <v>17</v>
      </c>
      <c r="P6" s="5" t="str">
        <f t="shared" si="5"/>
        <v>5,DJOIN,寸法,寸法分割&amp;結合,DJOIN,img/steps/djoin_1.png|img/steps/djoin_2.png|img/steps/djoin_3.png,手順1|手順2|手順3,寸法,img/before/djoin.jpg,img/after/djoin.jpg,lisp/djoin.lsp,code/djoin.lsp,260114,北川,stable</v>
      </c>
    </row>
    <row r="7" spans="1:16" x14ac:dyDescent="0.15">
      <c r="A7" s="5">
        <v>6</v>
      </c>
      <c r="B7" s="5" t="s">
        <v>30</v>
      </c>
      <c r="C7" s="5" t="s">
        <v>94</v>
      </c>
      <c r="D7" s="5" t="s">
        <v>121</v>
      </c>
      <c r="E7" s="5" t="s">
        <v>30</v>
      </c>
      <c r="F7" s="5" t="str">
        <f t="shared" si="0"/>
        <v>img/steps/btdchg_1.png|img/steps/btdchg_2.png|img/steps/btdchg_3.png</v>
      </c>
      <c r="G7" s="5" t="s">
        <v>16</v>
      </c>
      <c r="H7" s="5" t="s">
        <v>94</v>
      </c>
      <c r="I7" s="5" t="str">
        <f t="shared" si="1"/>
        <v>img/before/btdchg.jpg</v>
      </c>
      <c r="J7" s="5" t="str">
        <f t="shared" si="2"/>
        <v>img/after/btdchg.jpg</v>
      </c>
      <c r="K7" s="5" t="str">
        <f t="shared" si="3"/>
        <v>lisp/btdchg.lsp</v>
      </c>
      <c r="L7" s="5" t="str">
        <f t="shared" si="4"/>
        <v>code/btdchg.lsp</v>
      </c>
      <c r="M7" s="6">
        <v>260123</v>
      </c>
      <c r="N7" s="3" t="s">
        <v>18</v>
      </c>
      <c r="O7" s="3" t="s">
        <v>17</v>
      </c>
      <c r="P7" s="5" t="str">
        <f t="shared" si="5"/>
        <v>6,BTDCHG,寸法,ブロックを選択しブロック内の寸法スタイルをカレントの寸法スタイルに変更する,BTDCHG,img/steps/btdchg_1.png|img/steps/btdchg_2.png|img/steps/btdchg_3.png,手順1|手順2|手順3,寸法,img/before/btdchg.jpg,img/after/btdchg.jpg,lisp/btdchg.lsp,code/btdchg.lsp,260123,北川,stable</v>
      </c>
    </row>
    <row r="8" spans="1:16" x14ac:dyDescent="0.15">
      <c r="A8" s="5">
        <v>7</v>
      </c>
      <c r="B8" s="5" t="s">
        <v>31</v>
      </c>
      <c r="C8" s="5" t="s">
        <v>95</v>
      </c>
      <c r="D8" s="5" t="s">
        <v>122</v>
      </c>
      <c r="E8" s="5" t="s">
        <v>31</v>
      </c>
      <c r="F8" s="5" t="str">
        <f t="shared" si="0"/>
        <v>img/steps/etxt_1.png|img/steps/etxt_2.png|img/steps/etxt_3.png</v>
      </c>
      <c r="G8" s="5" t="s">
        <v>16</v>
      </c>
      <c r="H8" s="5" t="s">
        <v>95</v>
      </c>
      <c r="I8" s="5" t="str">
        <f t="shared" si="1"/>
        <v>img/before/etxt.jpg</v>
      </c>
      <c r="J8" s="5" t="str">
        <f t="shared" si="2"/>
        <v>img/after/etxt.jpg</v>
      </c>
      <c r="K8" s="5" t="str">
        <f t="shared" si="3"/>
        <v>lisp/etxt.lsp</v>
      </c>
      <c r="L8" s="5" t="str">
        <f t="shared" si="4"/>
        <v>code/etxt.lsp</v>
      </c>
      <c r="M8" s="6">
        <v>251030</v>
      </c>
      <c r="N8" s="3" t="s">
        <v>18</v>
      </c>
      <c r="O8" s="3" t="s">
        <v>17</v>
      </c>
      <c r="P8" s="5" t="str">
        <f t="shared" si="5"/>
        <v>7,ETXT,文字,複数の文字内容から重複する内容をを一括削除し異なる内容を各1種類ずつ残す,ETXT,img/steps/etxt_1.png|img/steps/etxt_2.png|img/steps/etxt_3.png,手順1|手順2|手順3,文字,img/before/etxt.jpg,img/after/etxt.jpg,lisp/etxt.lsp,code/etxt.lsp,251030,北川,stable</v>
      </c>
    </row>
    <row r="9" spans="1:16" x14ac:dyDescent="0.15">
      <c r="A9" s="5">
        <v>8</v>
      </c>
      <c r="B9" s="5" t="s">
        <v>32</v>
      </c>
      <c r="C9" s="5" t="s">
        <v>95</v>
      </c>
      <c r="D9" s="5" t="s">
        <v>175</v>
      </c>
      <c r="E9" s="5" t="s">
        <v>32</v>
      </c>
      <c r="F9" s="5" t="str">
        <f t="shared" si="0"/>
        <v>img/steps/jtxt_1.png|img/steps/jtxt_2.png|img/steps/jtxt_3.png</v>
      </c>
      <c r="G9" s="5" t="s">
        <v>16</v>
      </c>
      <c r="H9" s="5" t="s">
        <v>95</v>
      </c>
      <c r="I9" s="5" t="str">
        <f t="shared" si="1"/>
        <v>img/before/jtxt.jpg</v>
      </c>
      <c r="J9" s="5" t="str">
        <f t="shared" si="2"/>
        <v>img/after/jtxt.jpg</v>
      </c>
      <c r="K9" s="5" t="str">
        <f t="shared" si="3"/>
        <v>lisp/jtxt.lsp</v>
      </c>
      <c r="L9" s="5" t="str">
        <f t="shared" si="4"/>
        <v>code/jtxt.lsp</v>
      </c>
      <c r="M9" s="6">
        <v>251031</v>
      </c>
      <c r="N9" s="3" t="s">
        <v>18</v>
      </c>
      <c r="O9" s="3" t="s">
        <v>17</v>
      </c>
      <c r="P9" s="5" t="str">
        <f t="shared" si="5"/>
        <v>8,JTXT,文字,選択順に文字列を合体させる,JTXT,img/steps/jtxt_1.png|img/steps/jtxt_2.png|img/steps/jtxt_3.png,手順1|手順2|手順3,文字,img/before/jtxt.jpg,img/after/jtxt.jpg,lisp/jtxt.lsp,code/jtxt.lsp,251031,北川,stable</v>
      </c>
    </row>
    <row r="10" spans="1:16" x14ac:dyDescent="0.15">
      <c r="A10" s="5">
        <v>9</v>
      </c>
      <c r="B10" s="5" t="s">
        <v>33</v>
      </c>
      <c r="C10" s="5" t="s">
        <v>95</v>
      </c>
      <c r="D10" s="5" t="s">
        <v>123</v>
      </c>
      <c r="E10" s="5" t="s">
        <v>33</v>
      </c>
      <c r="F10" s="5" t="str">
        <f t="shared" si="0"/>
        <v>img/steps/stxt_1.png|img/steps/stxt_2.png|img/steps/stxt_3.png</v>
      </c>
      <c r="G10" s="5" t="s">
        <v>16</v>
      </c>
      <c r="H10" s="5" t="s">
        <v>95</v>
      </c>
      <c r="I10" s="5" t="str">
        <f t="shared" si="1"/>
        <v>img/before/stxt.jpg</v>
      </c>
      <c r="J10" s="5" t="str">
        <f t="shared" si="2"/>
        <v>img/after/stxt.jpg</v>
      </c>
      <c r="K10" s="5" t="str">
        <f t="shared" si="3"/>
        <v>lisp/stxt.lsp</v>
      </c>
      <c r="L10" s="5" t="str">
        <f t="shared" si="4"/>
        <v>code/stxt.lsp</v>
      </c>
      <c r="M10" s="6">
        <v>251031</v>
      </c>
      <c r="N10" s="3" t="s">
        <v>18</v>
      </c>
      <c r="O10" s="3" t="s">
        <v>17</v>
      </c>
      <c r="P10" s="5" t="str">
        <f t="shared" si="5"/>
        <v>9,STXT,文字,文字列種類別整列,STXT,img/steps/stxt_1.png|img/steps/stxt_2.png|img/steps/stxt_3.png,手順1|手順2|手順3,文字,img/before/stxt.jpg,img/after/stxt.jpg,lisp/stxt.lsp,code/stxt.lsp,251031,北川,stable</v>
      </c>
    </row>
    <row r="11" spans="1:16" x14ac:dyDescent="0.15">
      <c r="A11" s="5">
        <v>10</v>
      </c>
      <c r="B11" s="5" t="s">
        <v>34</v>
      </c>
      <c r="C11" s="5" t="s">
        <v>95</v>
      </c>
      <c r="D11" s="5" t="s">
        <v>176</v>
      </c>
      <c r="E11" s="5" t="s">
        <v>34</v>
      </c>
      <c r="F11" s="5" t="str">
        <f t="shared" si="0"/>
        <v>img/steps/txcopy_1.png|img/steps/txcopy_2.png|img/steps/txcopy_3.png</v>
      </c>
      <c r="G11" s="5" t="s">
        <v>16</v>
      </c>
      <c r="H11" s="5" t="s">
        <v>95</v>
      </c>
      <c r="I11" s="5" t="str">
        <f t="shared" si="1"/>
        <v>img/before/txcopy.jpg</v>
      </c>
      <c r="J11" s="5" t="str">
        <f t="shared" si="2"/>
        <v>img/after/txcopy.jpg</v>
      </c>
      <c r="K11" s="5" t="str">
        <f t="shared" si="3"/>
        <v>lisp/txcopy.lsp</v>
      </c>
      <c r="L11" s="5" t="str">
        <f t="shared" si="4"/>
        <v>code/txcopy.lsp</v>
      </c>
      <c r="M11" s="6">
        <v>251110</v>
      </c>
      <c r="N11" s="3" t="s">
        <v>18</v>
      </c>
      <c r="O11" s="3" t="s">
        <v>17</v>
      </c>
      <c r="P11" s="5" t="str">
        <f t="shared" si="5"/>
        <v>10,TXCOPY,文字,文字の内容を選択した複数の文字に一括変換,TXCOPY,img/steps/txcopy_1.png|img/steps/txcopy_2.png|img/steps/txcopy_3.png,手順1|手順2|手順3,文字,img/before/txcopy.jpg,img/after/txcopy.jpg,lisp/txcopy.lsp,code/txcopy.lsp,251110,北川,stable</v>
      </c>
    </row>
    <row r="12" spans="1:16" x14ac:dyDescent="0.15">
      <c r="A12" s="5">
        <v>11</v>
      </c>
      <c r="B12" s="5" t="s">
        <v>35</v>
      </c>
      <c r="C12" s="5" t="s">
        <v>95</v>
      </c>
      <c r="D12" s="5" t="s">
        <v>124</v>
      </c>
      <c r="E12" s="5" t="s">
        <v>35</v>
      </c>
      <c r="F12" s="5" t="str">
        <f t="shared" si="0"/>
        <v>img/steps/chnum_1.png|img/steps/chnum_2.png|img/steps/chnum_3.png</v>
      </c>
      <c r="G12" s="5" t="s">
        <v>16</v>
      </c>
      <c r="H12" s="5" t="s">
        <v>95</v>
      </c>
      <c r="I12" s="5" t="str">
        <f t="shared" si="1"/>
        <v>img/before/chnum.jpg</v>
      </c>
      <c r="J12" s="5" t="str">
        <f t="shared" si="2"/>
        <v>img/after/chnum.jpg</v>
      </c>
      <c r="K12" s="5" t="str">
        <f t="shared" si="3"/>
        <v>lisp/chnum.lsp</v>
      </c>
      <c r="L12" s="5" t="str">
        <f t="shared" si="4"/>
        <v>code/chnum.lsp</v>
      </c>
      <c r="M12" s="6">
        <v>251225</v>
      </c>
      <c r="N12" s="3" t="s">
        <v>18</v>
      </c>
      <c r="O12" s="3" t="s">
        <v>17</v>
      </c>
      <c r="P12" s="5" t="str">
        <f t="shared" si="5"/>
        <v>11,CHNUM,文字,数字が入った文字を選択すると、任意の数値で増減ができる,CHNUM,img/steps/chnum_1.png|img/steps/chnum_2.png|img/steps/chnum_3.png,手順1|手順2|手順3,文字,img/before/chnum.jpg,img/after/chnum.jpg,lisp/chnum.lsp,code/chnum.lsp,251225,北川,stable</v>
      </c>
    </row>
    <row r="13" spans="1:16" x14ac:dyDescent="0.15">
      <c r="A13" s="5">
        <v>12</v>
      </c>
      <c r="B13" s="5" t="s">
        <v>36</v>
      </c>
      <c r="C13" s="5" t="s">
        <v>95</v>
      </c>
      <c r="D13" s="5" t="s">
        <v>125</v>
      </c>
      <c r="E13" s="5" t="s">
        <v>36</v>
      </c>
      <c r="F13" s="5" t="str">
        <f t="shared" si="0"/>
        <v>img/steps/dobject_1.png|img/steps/dobject_2.png|img/steps/dobject_3.png</v>
      </c>
      <c r="G13" s="5" t="s">
        <v>16</v>
      </c>
      <c r="H13" s="5" t="s">
        <v>95</v>
      </c>
      <c r="I13" s="5" t="str">
        <f t="shared" si="1"/>
        <v>img/before/dobject.jpg</v>
      </c>
      <c r="J13" s="5" t="str">
        <f t="shared" si="2"/>
        <v>img/after/dobject.jpg</v>
      </c>
      <c r="K13" s="5" t="str">
        <f t="shared" si="3"/>
        <v>lisp/dobject.lsp</v>
      </c>
      <c r="L13" s="5" t="str">
        <f t="shared" si="4"/>
        <v>code/dobject.lsp</v>
      </c>
      <c r="M13" s="6">
        <v>260313</v>
      </c>
      <c r="N13" s="3" t="s">
        <v>18</v>
      </c>
      <c r="O13" s="3" t="s">
        <v>17</v>
      </c>
      <c r="P13" s="5" t="str">
        <f t="shared" si="5"/>
        <v>12,DOBJECT,文字,選択した範囲内かモデル空間かペーパー空間に存在する文字やブロックなどを全て削除する,DOBJECT,img/steps/dobject_1.png|img/steps/dobject_2.png|img/steps/dobject_3.png,手順1|手順2|手順3,文字,img/before/dobject.jpg,img/after/dobject.jpg,lisp/dobject.lsp,code/dobject.lsp,260313,北川,stable</v>
      </c>
    </row>
    <row r="14" spans="1:16" x14ac:dyDescent="0.15">
      <c r="A14" s="5">
        <v>13</v>
      </c>
      <c r="B14" s="5" t="s">
        <v>37</v>
      </c>
      <c r="C14" s="5" t="s">
        <v>96</v>
      </c>
      <c r="D14" s="5" t="s">
        <v>126</v>
      </c>
      <c r="E14" s="5" t="s">
        <v>37</v>
      </c>
      <c r="F14" s="5" t="str">
        <f t="shared" si="0"/>
        <v>img/steps/numall_1.png|img/steps/numall_2.png|img/steps/numall_3.png</v>
      </c>
      <c r="G14" s="5" t="s">
        <v>16</v>
      </c>
      <c r="H14" s="5" t="s">
        <v>96</v>
      </c>
      <c r="I14" s="5" t="str">
        <f t="shared" si="1"/>
        <v>img/before/numall.jpg</v>
      </c>
      <c r="J14" s="5" t="str">
        <f t="shared" si="2"/>
        <v>img/after/numall.jpg</v>
      </c>
      <c r="K14" s="5" t="str">
        <f t="shared" si="3"/>
        <v>lisp/numall.lsp</v>
      </c>
      <c r="L14" s="5" t="str">
        <f t="shared" si="4"/>
        <v>code/numall.lsp</v>
      </c>
      <c r="M14" s="6" t="s">
        <v>190</v>
      </c>
      <c r="N14" s="3" t="s">
        <v>18</v>
      </c>
      <c r="O14" s="3" t="s">
        <v>17</v>
      </c>
      <c r="P14" s="5" t="str">
        <f t="shared" si="5"/>
        <v>13,NUMALL,文字,選択した範囲内の番号を任意の方向へ順番に振る（1ずつ増加）,NUMALL,img/steps/numall_1.png|img/steps/numall_2.png|img/steps/numall_3.png,手順1|手順2|手順3,文字,img/before/numall.jpg,img/after/numall.jpg,lisp/numall.lsp,code/numall.lsp,260310,北川,stable</v>
      </c>
    </row>
    <row r="15" spans="1:16" x14ac:dyDescent="0.15">
      <c r="A15" s="5">
        <v>14</v>
      </c>
      <c r="B15" s="5" t="s">
        <v>38</v>
      </c>
      <c r="C15" s="5" t="s">
        <v>95</v>
      </c>
      <c r="D15" s="5" t="s">
        <v>127</v>
      </c>
      <c r="E15" s="5" t="s">
        <v>38</v>
      </c>
      <c r="F15" s="5" t="str">
        <f t="shared" si="0"/>
        <v>img/steps/tswap_1.png|img/steps/tswap_2.png|img/steps/tswap_3.png</v>
      </c>
      <c r="G15" s="5" t="s">
        <v>16</v>
      </c>
      <c r="H15" s="5" t="s">
        <v>95</v>
      </c>
      <c r="I15" s="5" t="str">
        <f t="shared" si="1"/>
        <v>img/before/tswap.jpg</v>
      </c>
      <c r="J15" s="5" t="str">
        <f t="shared" si="2"/>
        <v>img/after/tswap.jpg</v>
      </c>
      <c r="K15" s="5" t="str">
        <f t="shared" si="3"/>
        <v>lisp/tswap.lsp</v>
      </c>
      <c r="L15" s="5" t="str">
        <f t="shared" si="4"/>
        <v>code/tswap.lsp</v>
      </c>
      <c r="M15" s="6">
        <v>260121</v>
      </c>
      <c r="N15" s="3" t="s">
        <v>18</v>
      </c>
      <c r="O15" s="3" t="s">
        <v>17</v>
      </c>
      <c r="P15" s="5" t="str">
        <f t="shared" si="5"/>
        <v>14,TSWAP,文字,文字内容を入れ替え,TSWAP,img/steps/tswap_1.png|img/steps/tswap_2.png|img/steps/tswap_3.png,手順1|手順2|手順3,文字,img/before/tswap.jpg,img/after/tswap.jpg,lisp/tswap.lsp,code/tswap.lsp,260121,北川,stable</v>
      </c>
    </row>
    <row r="16" spans="1:16" x14ac:dyDescent="0.15">
      <c r="A16" s="5">
        <v>15</v>
      </c>
      <c r="B16" s="5" t="s">
        <v>39</v>
      </c>
      <c r="C16" s="5" t="s">
        <v>97</v>
      </c>
      <c r="D16" s="5" t="s">
        <v>128</v>
      </c>
      <c r="E16" s="5" t="s">
        <v>39</v>
      </c>
      <c r="F16" s="5" t="str">
        <f t="shared" si="0"/>
        <v>img/steps/cbtst_1.png|img/steps/cbtst_2.png|img/steps/cbtst_3.png</v>
      </c>
      <c r="G16" s="5" t="s">
        <v>16</v>
      </c>
      <c r="H16" s="5" t="s">
        <v>97</v>
      </c>
      <c r="I16" s="5" t="str">
        <f t="shared" si="1"/>
        <v>img/before/cbtst.jpg</v>
      </c>
      <c r="J16" s="5" t="str">
        <f t="shared" si="2"/>
        <v>img/after/cbtst.jpg</v>
      </c>
      <c r="K16" s="5" t="str">
        <f t="shared" si="3"/>
        <v>lisp/cbtst.lsp</v>
      </c>
      <c r="L16" s="5" t="str">
        <f t="shared" si="4"/>
        <v>code/cbtst.lsp</v>
      </c>
      <c r="M16" s="6">
        <v>251108</v>
      </c>
      <c r="N16" s="3" t="s">
        <v>18</v>
      </c>
      <c r="O16" s="3" t="s">
        <v>17</v>
      </c>
      <c r="P16" s="5" t="str">
        <f t="shared" si="5"/>
        <v>15,CBTST,文字+レイヤー,ブロック内の文字スタイルとレイヤーをカレントに変換する,CBTST,img/steps/cbtst_1.png|img/steps/cbtst_2.png|img/steps/cbtst_3.png,手順1|手順2|手順3,文字+レイヤー,img/before/cbtst.jpg,img/after/cbtst.jpg,lisp/cbtst.lsp,code/cbtst.lsp,251108,北川,stable</v>
      </c>
    </row>
    <row r="17" spans="1:16" x14ac:dyDescent="0.15">
      <c r="A17" s="5">
        <v>16</v>
      </c>
      <c r="B17" s="5" t="s">
        <v>40</v>
      </c>
      <c r="C17" s="5" t="s">
        <v>98</v>
      </c>
      <c r="D17" s="5" t="s">
        <v>129</v>
      </c>
      <c r="E17" s="5" t="s">
        <v>40</v>
      </c>
      <c r="F17" s="5" t="str">
        <f t="shared" si="0"/>
        <v>img/steps/unlockall_1.png|img/steps/unlockall_2.png|img/steps/unlockall_3.png</v>
      </c>
      <c r="G17" s="5" t="s">
        <v>16</v>
      </c>
      <c r="H17" s="5" t="s">
        <v>98</v>
      </c>
      <c r="I17" s="5" t="str">
        <f t="shared" si="1"/>
        <v>img/before/unlockall.jpg</v>
      </c>
      <c r="J17" s="5" t="str">
        <f t="shared" si="2"/>
        <v>img/after/unlockall.jpg</v>
      </c>
      <c r="K17" s="5" t="str">
        <f t="shared" si="3"/>
        <v>lisp/unlockall.lsp</v>
      </c>
      <c r="L17" s="5" t="str">
        <f t="shared" si="4"/>
        <v>code/unlockall.lsp</v>
      </c>
      <c r="M17" s="6">
        <v>250415</v>
      </c>
      <c r="N17" s="3" t="s">
        <v>18</v>
      </c>
      <c r="O17" s="3" t="s">
        <v>17</v>
      </c>
      <c r="P17" s="5" t="str">
        <f t="shared" si="5"/>
        <v>16,UNLOCKALL,レイヤー,ロックを全て強制解除,UNLOCKALL,img/steps/unlockall_1.png|img/steps/unlockall_2.png|img/steps/unlockall_3.png,手順1|手順2|手順3,レイヤー,img/before/unlockall.jpg,img/after/unlockall.jpg,lisp/unlockall.lsp,code/unlockall.lsp,250415,北川,stable</v>
      </c>
    </row>
    <row r="18" spans="1:16" x14ac:dyDescent="0.15">
      <c r="A18" s="5">
        <v>17</v>
      </c>
      <c r="B18" s="5" t="s">
        <v>41</v>
      </c>
      <c r="C18" s="5" t="s">
        <v>98</v>
      </c>
      <c r="D18" s="5" t="s">
        <v>177</v>
      </c>
      <c r="E18" s="5" t="s">
        <v>41</v>
      </c>
      <c r="F18" s="5" t="str">
        <f t="shared" si="0"/>
        <v>img/steps/layerlock_1.png|img/steps/layerlock_2.png|img/steps/layerlock_3.png</v>
      </c>
      <c r="G18" s="5" t="s">
        <v>16</v>
      </c>
      <c r="H18" s="5" t="s">
        <v>98</v>
      </c>
      <c r="I18" s="5" t="str">
        <f t="shared" si="1"/>
        <v>img/before/layerlock.jpg</v>
      </c>
      <c r="J18" s="5" t="str">
        <f t="shared" si="2"/>
        <v>img/after/layerlock.jpg</v>
      </c>
      <c r="K18" s="5" t="str">
        <f t="shared" si="3"/>
        <v>lisp/layerlock.lsp</v>
      </c>
      <c r="L18" s="5" t="str">
        <f t="shared" si="4"/>
        <v>code/layerlock.lsp</v>
      </c>
      <c r="M18" s="6">
        <v>251219</v>
      </c>
      <c r="N18" s="3" t="s">
        <v>18</v>
      </c>
      <c r="O18" s="3" t="s">
        <v>17</v>
      </c>
      <c r="P18" s="5" t="str">
        <f t="shared" si="5"/>
        <v>17,LAYERLOCK,レイヤー,選択した画層以外をロックする,LAYERLOCK,img/steps/layerlock_1.png|img/steps/layerlock_2.png|img/steps/layerlock_3.png,手順1|手順2|手順3,レイヤー,img/before/layerlock.jpg,img/after/layerlock.jpg,lisp/layerlock.lsp,code/layerlock.lsp,251219,北川,stable</v>
      </c>
    </row>
    <row r="19" spans="1:16" x14ac:dyDescent="0.15">
      <c r="A19" s="5">
        <v>18</v>
      </c>
      <c r="B19" s="5" t="s">
        <v>42</v>
      </c>
      <c r="C19" s="5" t="s">
        <v>98</v>
      </c>
      <c r="D19" s="5" t="s">
        <v>178</v>
      </c>
      <c r="E19" s="5" t="s">
        <v>42</v>
      </c>
      <c r="F19" s="5" t="str">
        <f t="shared" si="0"/>
        <v>img/steps/layerlf_1.png|img/steps/layerlf_2.png|img/steps/layerlf_3.png</v>
      </c>
      <c r="G19" s="5" t="s">
        <v>16</v>
      </c>
      <c r="H19" s="5" t="s">
        <v>98</v>
      </c>
      <c r="I19" s="5" t="str">
        <f t="shared" si="1"/>
        <v>img/before/layerlf.jpg</v>
      </c>
      <c r="J19" s="5" t="str">
        <f t="shared" si="2"/>
        <v>img/after/layerlf.jpg</v>
      </c>
      <c r="K19" s="5" t="str">
        <f t="shared" si="3"/>
        <v>lisp/layerlf.lsp</v>
      </c>
      <c r="L19" s="5" t="str">
        <f t="shared" si="4"/>
        <v>code/layerlf.lsp</v>
      </c>
      <c r="M19" s="6">
        <v>251219</v>
      </c>
      <c r="N19" s="3" t="s">
        <v>18</v>
      </c>
      <c r="O19" s="3" t="s">
        <v>17</v>
      </c>
      <c r="P19" s="5" t="str">
        <f t="shared" si="5"/>
        <v>18,LAYERLF,レイヤー,選択した画層以外を非表示かつロックする,LAYERLF,img/steps/layerlf_1.png|img/steps/layerlf_2.png|img/steps/layerlf_3.png,手順1|手順2|手順3,レイヤー,img/before/layerlf.jpg,img/after/layerlf.jpg,lisp/layerlf.lsp,code/layerlf.lsp,251219,北川,stable</v>
      </c>
    </row>
    <row r="20" spans="1:16" x14ac:dyDescent="0.15">
      <c r="A20" s="5">
        <v>19</v>
      </c>
      <c r="B20" s="5" t="s">
        <v>43</v>
      </c>
      <c r="C20" s="5" t="s">
        <v>98</v>
      </c>
      <c r="D20" s="5" t="s">
        <v>130</v>
      </c>
      <c r="E20" s="5" t="s">
        <v>43</v>
      </c>
      <c r="F20" s="5" t="str">
        <f t="shared" si="0"/>
        <v>img/steps/blbylay_1.png|img/steps/blbylay_2.png|img/steps/blbylay_3.png</v>
      </c>
      <c r="G20" s="5" t="s">
        <v>16</v>
      </c>
      <c r="H20" s="5" t="s">
        <v>98</v>
      </c>
      <c r="I20" s="5" t="str">
        <f t="shared" si="1"/>
        <v>img/before/blbylay.jpg</v>
      </c>
      <c r="J20" s="5" t="str">
        <f t="shared" si="2"/>
        <v>img/after/blbylay.jpg</v>
      </c>
      <c r="K20" s="5" t="str">
        <f t="shared" si="3"/>
        <v>lisp/blbylay.lsp</v>
      </c>
      <c r="L20" s="5" t="str">
        <f t="shared" si="4"/>
        <v>code/blbylay.lsp</v>
      </c>
      <c r="M20" s="6" t="s">
        <v>186</v>
      </c>
      <c r="N20" s="3" t="s">
        <v>18</v>
      </c>
      <c r="O20" s="3" t="s">
        <v>17</v>
      </c>
      <c r="P20" s="5" t="str">
        <f t="shared" si="5"/>
        <v>19,BLBYLAY,レイヤー,ブロック・属性の内部の図形の色・線種をBylayerもしくはByblockに変更,BLBYLAY,img/steps/blbylay_1.png|img/steps/blbylay_2.png|img/steps/blbylay_3.png,手順1|手順2|手順3,レイヤー,img/before/blbylay.jpg,img/after/blbylay.jpg,lisp/blbylay.lsp,code/blbylay.lsp,260202,北川,stable</v>
      </c>
    </row>
    <row r="21" spans="1:16" x14ac:dyDescent="0.15">
      <c r="A21" s="5">
        <v>20</v>
      </c>
      <c r="B21" s="5" t="s">
        <v>44</v>
      </c>
      <c r="C21" s="5" t="s">
        <v>98</v>
      </c>
      <c r="D21" s="5" t="s">
        <v>131</v>
      </c>
      <c r="E21" s="5" t="s">
        <v>44</v>
      </c>
      <c r="F21" s="5" t="str">
        <f t="shared" si="0"/>
        <v>img/steps/layall_1.png|img/steps/layall_2.png|img/steps/layall_3.png</v>
      </c>
      <c r="G21" s="5" t="s">
        <v>16</v>
      </c>
      <c r="H21" s="5" t="s">
        <v>98</v>
      </c>
      <c r="I21" s="5" t="str">
        <f t="shared" si="1"/>
        <v>img/before/layall.jpg</v>
      </c>
      <c r="J21" s="5" t="str">
        <f t="shared" si="2"/>
        <v>img/after/layall.jpg</v>
      </c>
      <c r="K21" s="5" t="str">
        <f t="shared" si="3"/>
        <v>lisp/layall.lsp</v>
      </c>
      <c r="L21" s="5" t="str">
        <f t="shared" si="4"/>
        <v>code/layall.lsp</v>
      </c>
      <c r="M21" s="6">
        <v>260218</v>
      </c>
      <c r="N21" s="3" t="s">
        <v>18</v>
      </c>
      <c r="O21" s="3" t="s">
        <v>17</v>
      </c>
      <c r="P21" s="5" t="str">
        <f t="shared" si="5"/>
        <v>20,LAYALL,レイヤー,非表示、フリーズ、ロックを全て解除,LAYALL,img/steps/layall_1.png|img/steps/layall_2.png|img/steps/layall_3.png,手順1|手順2|手順3,レイヤー,img/before/layall.jpg,img/after/layall.jpg,lisp/layall.lsp,code/layall.lsp,260218,北川,stable</v>
      </c>
    </row>
    <row r="22" spans="1:16" x14ac:dyDescent="0.15">
      <c r="A22" s="5">
        <v>21</v>
      </c>
      <c r="B22" s="5" t="s">
        <v>45</v>
      </c>
      <c r="C22" s="5" t="s">
        <v>99</v>
      </c>
      <c r="D22" s="5" t="s">
        <v>132</v>
      </c>
      <c r="E22" s="5" t="s">
        <v>45</v>
      </c>
      <c r="F22" s="5" t="str">
        <f t="shared" si="0"/>
        <v>img/steps/blarray_1.png|img/steps/blarray_2.png|img/steps/blarray_3.png</v>
      </c>
      <c r="G22" s="5" t="s">
        <v>16</v>
      </c>
      <c r="H22" s="5" t="s">
        <v>99</v>
      </c>
      <c r="I22" s="5" t="str">
        <f t="shared" si="1"/>
        <v>img/before/blarray.jpg</v>
      </c>
      <c r="J22" s="5" t="str">
        <f t="shared" si="2"/>
        <v>img/after/blarray.jpg</v>
      </c>
      <c r="K22" s="5" t="str">
        <f t="shared" si="3"/>
        <v>lisp/blarray.lsp</v>
      </c>
      <c r="L22" s="5" t="str">
        <f t="shared" si="4"/>
        <v>code/blarray.lsp</v>
      </c>
      <c r="M22" s="6">
        <v>250411</v>
      </c>
      <c r="N22" s="3" t="s">
        <v>18</v>
      </c>
      <c r="O22" s="3" t="s">
        <v>17</v>
      </c>
      <c r="P22" s="5" t="str">
        <f t="shared" si="5"/>
        <v>21,BLARRAY,ブロック,異なる名前のブロックを複数選択し、任意の基点から縦か横に任意の距離で並べられるようにしたい,BLARRAY,img/steps/blarray_1.png|img/steps/blarray_2.png|img/steps/blarray_3.png,手順1|手順2|手順3,ブロック,img/before/blarray.jpg,img/after/blarray.jpg,lisp/blarray.lsp,code/blarray.lsp,250411,北川,stable</v>
      </c>
    </row>
    <row r="23" spans="1:16" x14ac:dyDescent="0.15">
      <c r="A23" s="5">
        <v>22</v>
      </c>
      <c r="B23" s="5" t="s">
        <v>46</v>
      </c>
      <c r="C23" s="5" t="s">
        <v>99</v>
      </c>
      <c r="D23" s="5" t="s">
        <v>133</v>
      </c>
      <c r="E23" s="5" t="s">
        <v>46</v>
      </c>
      <c r="F23" s="5" t="str">
        <f t="shared" si="0"/>
        <v>img/steps/blname_1.png|img/steps/blname_2.png|img/steps/blname_3.png</v>
      </c>
      <c r="G23" s="5" t="s">
        <v>16</v>
      </c>
      <c r="H23" s="5" t="s">
        <v>99</v>
      </c>
      <c r="I23" s="5" t="str">
        <f t="shared" si="1"/>
        <v>img/before/blname.jpg</v>
      </c>
      <c r="J23" s="5" t="str">
        <f t="shared" si="2"/>
        <v>img/after/blname.jpg</v>
      </c>
      <c r="K23" s="5" t="str">
        <f t="shared" si="3"/>
        <v>lisp/blname.lsp</v>
      </c>
      <c r="L23" s="5" t="str">
        <f t="shared" si="4"/>
        <v>code/blname.lsp</v>
      </c>
      <c r="M23" s="6">
        <v>250424</v>
      </c>
      <c r="N23" s="3" t="s">
        <v>18</v>
      </c>
      <c r="O23" s="3" t="s">
        <v>17</v>
      </c>
      <c r="P23" s="5" t="str">
        <f t="shared" si="5"/>
        <v>22,BLNAME,ブロック,ブロックを選択しリネームして追加挿入※尺度、回転つき,BLNAME,img/steps/blname_1.png|img/steps/blname_2.png|img/steps/blname_3.png,手順1|手順2|手順3,ブロック,img/before/blname.jpg,img/after/blname.jpg,lisp/blname.lsp,code/blname.lsp,250424,北川,stable</v>
      </c>
    </row>
    <row r="24" spans="1:16" x14ac:dyDescent="0.15">
      <c r="A24" s="5">
        <v>23</v>
      </c>
      <c r="B24" s="5" t="s">
        <v>47</v>
      </c>
      <c r="C24" s="5" t="s">
        <v>99</v>
      </c>
      <c r="D24" s="5" t="s">
        <v>134</v>
      </c>
      <c r="E24" s="5" t="s">
        <v>47</v>
      </c>
      <c r="F24" s="5" t="str">
        <f t="shared" si="0"/>
        <v>img/steps/blpuls_1.png|img/steps/blpuls_2.png|img/steps/blpuls_3.png</v>
      </c>
      <c r="G24" s="5" t="s">
        <v>16</v>
      </c>
      <c r="H24" s="5" t="s">
        <v>99</v>
      </c>
      <c r="I24" s="5" t="str">
        <f t="shared" si="1"/>
        <v>img/before/blpuls.jpg</v>
      </c>
      <c r="J24" s="5" t="str">
        <f t="shared" si="2"/>
        <v>img/after/blpuls.jpg</v>
      </c>
      <c r="K24" s="5" t="str">
        <f t="shared" si="3"/>
        <v>lisp/blpuls.lsp</v>
      </c>
      <c r="L24" s="5" t="str">
        <f t="shared" si="4"/>
        <v>code/blpuls.lsp</v>
      </c>
      <c r="M24" s="6">
        <v>250424</v>
      </c>
      <c r="N24" s="3" t="s">
        <v>18</v>
      </c>
      <c r="O24" s="3" t="s">
        <v>17</v>
      </c>
      <c r="P24" s="5" t="str">
        <f t="shared" si="5"/>
        <v>23,BLPULS,ブロック,選択したブロックを挿入,BLPULS,img/steps/blpuls_1.png|img/steps/blpuls_2.png|img/steps/blpuls_3.png,手順1|手順2|手順3,ブロック,img/before/blpuls.jpg,img/after/blpuls.jpg,lisp/blpuls.lsp,code/blpuls.lsp,250424,北川,stable</v>
      </c>
    </row>
    <row r="25" spans="1:16" x14ac:dyDescent="0.15">
      <c r="A25" s="5">
        <v>24</v>
      </c>
      <c r="B25" s="5" t="s">
        <v>48</v>
      </c>
      <c r="C25" s="5" t="s">
        <v>99</v>
      </c>
      <c r="D25" s="5" t="s">
        <v>179</v>
      </c>
      <c r="E25" s="5" t="s">
        <v>48</v>
      </c>
      <c r="F25" s="5" t="str">
        <f t="shared" si="0"/>
        <v>img/steps/blbase_1.png|img/steps/blbase_2.png|img/steps/blbase_3.png</v>
      </c>
      <c r="G25" s="5" t="s">
        <v>16</v>
      </c>
      <c r="H25" s="5" t="s">
        <v>99</v>
      </c>
      <c r="I25" s="5" t="str">
        <f t="shared" si="1"/>
        <v>img/before/blbase.jpg</v>
      </c>
      <c r="J25" s="5" t="str">
        <f t="shared" si="2"/>
        <v>img/after/blbase.jpg</v>
      </c>
      <c r="K25" s="5" t="str">
        <f t="shared" si="3"/>
        <v>lisp/blbase.lsp</v>
      </c>
      <c r="L25" s="5" t="str">
        <f t="shared" si="4"/>
        <v>code/blbase.lsp</v>
      </c>
      <c r="M25" s="6">
        <v>250424</v>
      </c>
      <c r="N25" s="3" t="s">
        <v>18</v>
      </c>
      <c r="O25" s="3" t="s">
        <v>17</v>
      </c>
      <c r="P25" s="5" t="str">
        <f t="shared" si="5"/>
        <v>24,BLBASE,ブロック,ブロックの位置はそのまま、見た目も変わらず、ブロック内の指定した点を新しい基点にする。,BLBASE,img/steps/blbase_1.png|img/steps/blbase_2.png|img/steps/blbase_3.png,手順1|手順2|手順3,ブロック,img/before/blbase.jpg,img/after/blbase.jpg,lisp/blbase.lsp,code/blbase.lsp,250424,北川,stable</v>
      </c>
    </row>
    <row r="26" spans="1:16" x14ac:dyDescent="0.15">
      <c r="A26" s="5">
        <v>25</v>
      </c>
      <c r="B26" s="5" t="s">
        <v>49</v>
      </c>
      <c r="C26" s="5" t="s">
        <v>99</v>
      </c>
      <c r="D26" s="5" t="s">
        <v>135</v>
      </c>
      <c r="E26" s="5" t="s">
        <v>49</v>
      </c>
      <c r="F26" s="5" t="str">
        <f t="shared" si="0"/>
        <v>img/steps/bloverkill_1.png|img/steps/bloverkill_2.png|img/steps/bloverkill_3.png</v>
      </c>
      <c r="G26" s="5" t="s">
        <v>16</v>
      </c>
      <c r="H26" s="5" t="s">
        <v>99</v>
      </c>
      <c r="I26" s="5" t="str">
        <f t="shared" si="1"/>
        <v>img/before/bloverkill.jpg</v>
      </c>
      <c r="J26" s="5" t="str">
        <f t="shared" si="2"/>
        <v>img/after/bloverkill.jpg</v>
      </c>
      <c r="K26" s="5" t="str">
        <f t="shared" si="3"/>
        <v>lisp/bloverkill.lsp</v>
      </c>
      <c r="L26" s="5" t="str">
        <f t="shared" si="4"/>
        <v>code/bloverkill.lsp</v>
      </c>
      <c r="M26" s="6">
        <v>260313</v>
      </c>
      <c r="N26" s="3" t="s">
        <v>18</v>
      </c>
      <c r="O26" s="3" t="s">
        <v>17</v>
      </c>
      <c r="P26" s="5" t="str">
        <f t="shared" si="5"/>
        <v>25,BLOVERKILL,ブロック,ブロックを選択しブロック内図形を重複削除する,BLOVERKILL,img/steps/bloverkill_1.png|img/steps/bloverkill_2.png|img/steps/bloverkill_3.png,手順1|手順2|手順3,ブロック,img/before/bloverkill.jpg,img/after/bloverkill.jpg,lisp/bloverkill.lsp,code/bloverkill.lsp,260313,北川,stable</v>
      </c>
    </row>
    <row r="27" spans="1:16" x14ac:dyDescent="0.15">
      <c r="A27" s="5">
        <v>26</v>
      </c>
      <c r="B27" s="5" t="s">
        <v>50</v>
      </c>
      <c r="C27" s="5" t="s">
        <v>99</v>
      </c>
      <c r="D27" s="5" t="s">
        <v>136</v>
      </c>
      <c r="E27" s="5" t="s">
        <v>50</v>
      </c>
      <c r="F27" s="5" t="str">
        <f t="shared" si="0"/>
        <v>img/steps/btxtdel_1.png|img/steps/btxtdel_2.png|img/steps/btxtdel_3.png</v>
      </c>
      <c r="G27" s="5" t="s">
        <v>16</v>
      </c>
      <c r="H27" s="5" t="s">
        <v>99</v>
      </c>
      <c r="I27" s="5" t="str">
        <f t="shared" si="1"/>
        <v>img/before/btxtdel.jpg</v>
      </c>
      <c r="J27" s="5" t="str">
        <f t="shared" si="2"/>
        <v>img/after/btxtdel.jpg</v>
      </c>
      <c r="K27" s="5" t="str">
        <f t="shared" si="3"/>
        <v>lisp/btxtdel.lsp</v>
      </c>
      <c r="L27" s="5" t="str">
        <f t="shared" si="4"/>
        <v>code/btxtdel.lsp</v>
      </c>
      <c r="M27" s="6">
        <v>251108</v>
      </c>
      <c r="N27" s="3" t="s">
        <v>18</v>
      </c>
      <c r="O27" s="3" t="s">
        <v>17</v>
      </c>
      <c r="P27" s="5" t="str">
        <f t="shared" si="5"/>
        <v>26,BTXTDEL,ブロック,ブロックを選択しブロック内文字を削除する,BTXTDEL,img/steps/btxtdel_1.png|img/steps/btxtdel_2.png|img/steps/btxtdel_3.png,手順1|手順2|手順3,ブロック,img/before/btxtdel.jpg,img/after/btxtdel.jpg,lisp/btxtdel.lsp,code/btxtdel.lsp,251108,北川,stable</v>
      </c>
    </row>
    <row r="28" spans="1:16" x14ac:dyDescent="0.15">
      <c r="A28" s="5">
        <v>27</v>
      </c>
      <c r="B28" s="5" t="s">
        <v>93</v>
      </c>
      <c r="C28" s="5" t="s">
        <v>99</v>
      </c>
      <c r="D28" s="5" t="s">
        <v>137</v>
      </c>
      <c r="E28" s="5" t="s">
        <v>19</v>
      </c>
      <c r="F28" s="5" t="str">
        <f t="shared" si="0"/>
        <v>img/steps/bbb_1.png|img/steps/bbb_2.png|img/steps/bbb_3.png</v>
      </c>
      <c r="G28" s="5" t="s">
        <v>16</v>
      </c>
      <c r="H28" s="5" t="s">
        <v>99</v>
      </c>
      <c r="I28" s="5" t="str">
        <f t="shared" si="1"/>
        <v>img/before/bbb.jpg</v>
      </c>
      <c r="J28" s="5" t="str">
        <f t="shared" si="2"/>
        <v>img/after/bbb.jpg</v>
      </c>
      <c r="K28" s="5" t="str">
        <f t="shared" si="3"/>
        <v>lisp/bbb.lsp</v>
      </c>
      <c r="L28" s="5" t="str">
        <f t="shared" si="4"/>
        <v>code/bbb.lsp</v>
      </c>
      <c r="M28" s="6">
        <v>251225</v>
      </c>
      <c r="N28" s="3" t="s">
        <v>18</v>
      </c>
      <c r="O28" s="3" t="s">
        <v>17</v>
      </c>
      <c r="P28" s="5" t="str">
        <f t="shared" si="5"/>
        <v>27,BBB,ブロック,ブロック一括再定義,BBB（外部データ一括再定義）,img/steps/bbb_1.png|img/steps/bbb_2.png|img/steps/bbb_3.png,手順1|手順2|手順3,ブロック,img/before/bbb.jpg,img/after/bbb.jpg,lisp/bbb.lsp,code/bbb.lsp,251225,北川,stable</v>
      </c>
    </row>
    <row r="29" spans="1:16" x14ac:dyDescent="0.15">
      <c r="A29" s="5">
        <v>28</v>
      </c>
      <c r="B29" s="5" t="s">
        <v>51</v>
      </c>
      <c r="C29" s="5" t="s">
        <v>99</v>
      </c>
      <c r="D29" s="5" t="s">
        <v>138</v>
      </c>
      <c r="E29" s="5" t="s">
        <v>51</v>
      </c>
      <c r="F29" s="5" t="str">
        <f t="shared" si="0"/>
        <v>img/steps/unblk_1.png|img/steps/unblk_2.png|img/steps/unblk_3.png</v>
      </c>
      <c r="G29" s="5" t="s">
        <v>16</v>
      </c>
      <c r="H29" s="5" t="s">
        <v>99</v>
      </c>
      <c r="I29" s="5" t="str">
        <f t="shared" si="1"/>
        <v>img/before/unblk.jpg</v>
      </c>
      <c r="J29" s="5" t="str">
        <f t="shared" si="2"/>
        <v>img/after/unblk.jpg</v>
      </c>
      <c r="K29" s="5" t="str">
        <f t="shared" si="3"/>
        <v>lisp/unblk.lsp</v>
      </c>
      <c r="L29" s="5" t="str">
        <f t="shared" si="4"/>
        <v>code/unblk.lsp</v>
      </c>
      <c r="M29" s="6" t="s">
        <v>191</v>
      </c>
      <c r="N29" s="3" t="s">
        <v>18</v>
      </c>
      <c r="O29" s="3" t="s">
        <v>17</v>
      </c>
      <c r="P29" s="5" t="str">
        <f t="shared" si="5"/>
        <v>28,UNBLK,ブロック,入れ子のブロックのみを選択して、選択したブロックまたは、ブロック内の入れ子ブロックのどちらかを、一度だけ分解させる,UNBLK,img/steps/unblk_1.png|img/steps/unblk_2.png|img/steps/unblk_3.png,手順1|手順2|手順3,ブロック,img/before/unblk.jpg,img/after/unblk.jpg,lisp/unblk.lsp,code/unblk.lsp,260219,北川,stable</v>
      </c>
    </row>
    <row r="30" spans="1:16" x14ac:dyDescent="0.15">
      <c r="A30" s="5">
        <v>29</v>
      </c>
      <c r="B30" s="5" t="s">
        <v>52</v>
      </c>
      <c r="C30" s="5" t="s">
        <v>99</v>
      </c>
      <c r="D30" s="5" t="s">
        <v>139</v>
      </c>
      <c r="E30" s="5" t="s">
        <v>52</v>
      </c>
      <c r="F30" s="5" t="str">
        <f t="shared" si="0"/>
        <v>img/steps/blregen_1.png|img/steps/blregen_2.png|img/steps/blregen_3.png</v>
      </c>
      <c r="G30" s="5" t="s">
        <v>16</v>
      </c>
      <c r="H30" s="5" t="s">
        <v>99</v>
      </c>
      <c r="I30" s="5" t="str">
        <f t="shared" si="1"/>
        <v>img/before/blregen.jpg</v>
      </c>
      <c r="J30" s="5" t="str">
        <f t="shared" si="2"/>
        <v>img/after/blregen.jpg</v>
      </c>
      <c r="K30" s="5" t="str">
        <f t="shared" si="3"/>
        <v>lisp/blregen.lsp</v>
      </c>
      <c r="L30" s="5" t="str">
        <f t="shared" si="4"/>
        <v>code/blregen.lsp</v>
      </c>
      <c r="M30" s="6" t="s">
        <v>191</v>
      </c>
      <c r="N30" s="3" t="s">
        <v>18</v>
      </c>
      <c r="O30" s="3" t="s">
        <v>17</v>
      </c>
      <c r="P30" s="5" t="str">
        <f t="shared" si="5"/>
        <v>29,BLREGEN,ブロック,寸法スタイル変更したが、ブロック内の寸法内容が変更できない場合に強制更新する,BLREGEN,img/steps/blregen_1.png|img/steps/blregen_2.png|img/steps/blregen_3.png,手順1|手順2|手順3,ブロック,img/before/blregen.jpg,img/after/blregen.jpg,lisp/blregen.lsp,code/blregen.lsp,260219,北川,stable</v>
      </c>
    </row>
    <row r="31" spans="1:16" x14ac:dyDescent="0.15">
      <c r="A31" s="5">
        <v>30</v>
      </c>
      <c r="B31" s="5" t="s">
        <v>53</v>
      </c>
      <c r="C31" s="5" t="s">
        <v>99</v>
      </c>
      <c r="D31" s="5" t="s">
        <v>140</v>
      </c>
      <c r="E31" s="5" t="s">
        <v>53</v>
      </c>
      <c r="F31" s="5" t="str">
        <f t="shared" si="0"/>
        <v>img/steps/nestprop_1.png|img/steps/nestprop_2.png|img/steps/nestprop_3.png</v>
      </c>
      <c r="G31" s="5" t="s">
        <v>16</v>
      </c>
      <c r="H31" s="5" t="s">
        <v>99</v>
      </c>
      <c r="I31" s="5" t="str">
        <f t="shared" si="1"/>
        <v>img/before/nestprop.jpg</v>
      </c>
      <c r="J31" s="5" t="str">
        <f t="shared" si="2"/>
        <v>img/after/nestprop.jpg</v>
      </c>
      <c r="K31" s="5" t="str">
        <f t="shared" si="3"/>
        <v>lisp/nestprop.lsp</v>
      </c>
      <c r="L31" s="5" t="str">
        <f t="shared" si="4"/>
        <v>code/nestprop.lsp</v>
      </c>
      <c r="M31" s="6" t="s">
        <v>191</v>
      </c>
      <c r="N31" s="3" t="s">
        <v>18</v>
      </c>
      <c r="O31" s="3" t="s">
        <v>17</v>
      </c>
      <c r="P31" s="5" t="str">
        <f t="shared" si="5"/>
        <v>30,NESTPROP,ブロック,ブロック内のレイヤーや色を変更する,NESTPROP,img/steps/nestprop_1.png|img/steps/nestprop_2.png|img/steps/nestprop_3.png,手順1|手順2|手順3,ブロック,img/before/nestprop.jpg,img/after/nestprop.jpg,lisp/nestprop.lsp,code/nestprop.lsp,260219,北川,stable</v>
      </c>
    </row>
    <row r="32" spans="1:16" x14ac:dyDescent="0.15">
      <c r="A32" s="5">
        <v>31</v>
      </c>
      <c r="B32" s="5" t="s">
        <v>54</v>
      </c>
      <c r="C32" s="5" t="s">
        <v>99</v>
      </c>
      <c r="D32" s="5" t="s">
        <v>141</v>
      </c>
      <c r="E32" s="5" t="s">
        <v>54</v>
      </c>
      <c r="F32" s="5" t="str">
        <f t="shared" si="0"/>
        <v>img/steps/bllaycur_1.png|img/steps/bllaycur_2.png|img/steps/bllaycur_3.png</v>
      </c>
      <c r="G32" s="5" t="s">
        <v>16</v>
      </c>
      <c r="H32" s="5" t="s">
        <v>99</v>
      </c>
      <c r="I32" s="5" t="str">
        <f t="shared" si="1"/>
        <v>img/before/bllaycur.jpg</v>
      </c>
      <c r="J32" s="5" t="str">
        <f t="shared" si="2"/>
        <v>img/after/bllaycur.jpg</v>
      </c>
      <c r="K32" s="5" t="str">
        <f t="shared" si="3"/>
        <v>lisp/bllaycur.lsp</v>
      </c>
      <c r="L32" s="5" t="str">
        <f t="shared" si="4"/>
        <v>code/bllaycur.lsp</v>
      </c>
      <c r="M32" s="6" t="s">
        <v>192</v>
      </c>
      <c r="N32" s="3" t="s">
        <v>18</v>
      </c>
      <c r="O32" s="3" t="s">
        <v>17</v>
      </c>
      <c r="P32" s="5" t="str">
        <f t="shared" si="5"/>
        <v>31,BLLAYCUR,ブロック,選択したブロック定義内の全図形を現在のレイヤーに変更,BLLAYCUR,img/steps/bllaycur_1.png|img/steps/bllaycur_2.png|img/steps/bllaycur_3.png,手順1|手順2|手順3,ブロック,img/before/bllaycur.jpg,img/after/bllaycur.jpg,lisp/bllaycur.lsp,code/bllaycur.lsp,260204,北川,stable</v>
      </c>
    </row>
    <row r="33" spans="1:16" x14ac:dyDescent="0.15">
      <c r="A33" s="5">
        <v>32</v>
      </c>
      <c r="B33" s="5" t="s">
        <v>55</v>
      </c>
      <c r="C33" s="5" t="s">
        <v>99</v>
      </c>
      <c r="D33" s="5" t="s">
        <v>142</v>
      </c>
      <c r="E33" s="5" t="s">
        <v>55</v>
      </c>
      <c r="F33" s="5" t="str">
        <f t="shared" si="0"/>
        <v>img/steps/renanon_1.png|img/steps/renanon_2.png|img/steps/renanon_3.png</v>
      </c>
      <c r="G33" s="5" t="s">
        <v>16</v>
      </c>
      <c r="H33" s="5" t="s">
        <v>99</v>
      </c>
      <c r="I33" s="5" t="str">
        <f t="shared" si="1"/>
        <v>img/before/renanon.jpg</v>
      </c>
      <c r="J33" s="5" t="str">
        <f t="shared" si="2"/>
        <v>img/after/renanon.jpg</v>
      </c>
      <c r="K33" s="5" t="str">
        <f t="shared" si="3"/>
        <v>lisp/renanon.lsp</v>
      </c>
      <c r="L33" s="5" t="str">
        <f t="shared" si="4"/>
        <v>code/renanon.lsp</v>
      </c>
      <c r="M33" s="6" t="s">
        <v>192</v>
      </c>
      <c r="N33" s="3" t="s">
        <v>18</v>
      </c>
      <c r="O33" s="3" t="s">
        <v>17</v>
      </c>
      <c r="P33" s="5" t="str">
        <f t="shared" si="5"/>
        <v>32,RENANON,ブロック,匿名ブロックを正規ブロックに変換,RENANON,img/steps/renanon_1.png|img/steps/renanon_2.png|img/steps/renanon_3.png,手順1|手順2|手順3,ブロック,img/before/renanon.jpg,img/after/renanon.jpg,lisp/renanon.lsp,code/renanon.lsp,260204,北川,stable</v>
      </c>
    </row>
    <row r="34" spans="1:16" x14ac:dyDescent="0.15">
      <c r="A34" s="5">
        <v>33</v>
      </c>
      <c r="B34" s="5" t="s">
        <v>56</v>
      </c>
      <c r="C34" s="5" t="s">
        <v>99</v>
      </c>
      <c r="D34" s="5" t="s">
        <v>143</v>
      </c>
      <c r="E34" s="5" t="s">
        <v>56</v>
      </c>
      <c r="F34" s="5" t="str">
        <f t="shared" si="0"/>
        <v>img/steps/blflat_1.png|img/steps/blflat_2.png|img/steps/blflat_3.png</v>
      </c>
      <c r="G34" s="5" t="s">
        <v>16</v>
      </c>
      <c r="H34" s="5" t="s">
        <v>99</v>
      </c>
      <c r="I34" s="5" t="str">
        <f t="shared" si="1"/>
        <v>img/before/blflat.jpg</v>
      </c>
      <c r="J34" s="5" t="str">
        <f t="shared" si="2"/>
        <v>img/after/blflat.jpg</v>
      </c>
      <c r="K34" s="5" t="str">
        <f t="shared" si="3"/>
        <v>lisp/blflat.lsp</v>
      </c>
      <c r="L34" s="5" t="str">
        <f t="shared" si="4"/>
        <v>code/blflat.lsp</v>
      </c>
      <c r="M34" s="6" t="s">
        <v>192</v>
      </c>
      <c r="N34" s="3" t="s">
        <v>18</v>
      </c>
      <c r="O34" s="3" t="s">
        <v>17</v>
      </c>
      <c r="P34" s="5" t="str">
        <f t="shared" si="5"/>
        <v>33,BLFLAT,ブロック,ブロック内をフラット化する,BLFLAT,img/steps/blflat_1.png|img/steps/blflat_2.png|img/steps/blflat_3.png,手順1|手順2|手順3,ブロック,img/before/blflat.jpg,img/after/blflat.jpg,lisp/blflat.lsp,code/blflat.lsp,260204,北川,stable</v>
      </c>
    </row>
    <row r="35" spans="1:16" x14ac:dyDescent="0.15">
      <c r="A35" s="5">
        <v>34</v>
      </c>
      <c r="B35" s="5" t="s">
        <v>88</v>
      </c>
      <c r="C35" s="5" t="s">
        <v>99</v>
      </c>
      <c r="D35" s="5" t="s">
        <v>180</v>
      </c>
      <c r="E35" s="5" t="s">
        <v>20</v>
      </c>
      <c r="F35" s="5" t="str">
        <f t="shared" si="0"/>
        <v>img/steps/renblk_1.png|img/steps/renblk_2.png|img/steps/renblk_3.png</v>
      </c>
      <c r="G35" s="5" t="s">
        <v>16</v>
      </c>
      <c r="H35" s="5" t="s">
        <v>99</v>
      </c>
      <c r="I35" s="5" t="str">
        <f t="shared" si="1"/>
        <v>img/before/renblk.jpg</v>
      </c>
      <c r="J35" s="5" t="str">
        <f t="shared" si="2"/>
        <v>img/after/renblk.jpg</v>
      </c>
      <c r="K35" s="5" t="str">
        <f t="shared" si="3"/>
        <v>lisp/renblk.lsp</v>
      </c>
      <c r="L35" s="5" t="str">
        <f t="shared" si="4"/>
        <v>code/renblk.lsp</v>
      </c>
      <c r="M35" s="6" t="s">
        <v>193</v>
      </c>
      <c r="N35" s="3" t="s">
        <v>18</v>
      </c>
      <c r="O35" s="3" t="s">
        <v>17</v>
      </c>
      <c r="P35" s="5" t="str">
        <f t="shared" si="5"/>
        <v>34,RENBLK,ブロック,選択ブロックのみリネーム（選択していない同名ブロックはリネームされずそのまま）,RENBLK（選択ブロック名前変更）,img/steps/renblk_1.png|img/steps/renblk_2.png|img/steps/renblk_3.png,手順1|手順2|手順3,ブロック,img/before/renblk.jpg,img/after/renblk.jpg,lisp/renblk.lsp,code/renblk.lsp,260130,北川,stable</v>
      </c>
    </row>
    <row r="36" spans="1:16" x14ac:dyDescent="0.15">
      <c r="A36" s="5">
        <v>35</v>
      </c>
      <c r="B36" s="5" t="s">
        <v>57</v>
      </c>
      <c r="C36" s="5" t="s">
        <v>99</v>
      </c>
      <c r="D36" s="5" t="s">
        <v>144</v>
      </c>
      <c r="E36" s="5" t="s">
        <v>57</v>
      </c>
      <c r="F36" s="5" t="str">
        <f t="shared" si="0"/>
        <v>img/steps/qwbl_1.png|img/steps/qwbl_2.png|img/steps/qwbl_3.png</v>
      </c>
      <c r="G36" s="5" t="s">
        <v>16</v>
      </c>
      <c r="H36" s="5" t="s">
        <v>99</v>
      </c>
      <c r="I36" s="5" t="str">
        <f t="shared" si="1"/>
        <v>img/before/qwbl.jpg</v>
      </c>
      <c r="J36" s="5" t="str">
        <f t="shared" si="2"/>
        <v>img/after/qwbl.jpg</v>
      </c>
      <c r="K36" s="5" t="str">
        <f t="shared" si="3"/>
        <v>lisp/qwbl.lsp</v>
      </c>
      <c r="L36" s="5" t="str">
        <f t="shared" si="4"/>
        <v>code/qwbl.lsp</v>
      </c>
      <c r="M36" s="6" t="s">
        <v>194</v>
      </c>
      <c r="N36" s="3" t="s">
        <v>18</v>
      </c>
      <c r="O36" s="3" t="s">
        <v>17</v>
      </c>
      <c r="P36" s="5" t="str">
        <f t="shared" si="5"/>
        <v>35,QWBL,ブロック,連続してWBLOCKができる。図形を選択、名前を付ける、基点設定、保存を繰り返し何度でもできる,QWBL,img/steps/qwbl_1.png|img/steps/qwbl_2.png|img/steps/qwbl_3.png,手順1|手順2|手順3,ブロック,img/before/qwbl.jpg,img/after/qwbl.jpg,lisp/qwbl.lsp,code/qwbl.lsp,260128,北川,stable</v>
      </c>
    </row>
    <row r="37" spans="1:16" x14ac:dyDescent="0.15">
      <c r="A37" s="5">
        <v>36</v>
      </c>
      <c r="B37" s="5" t="s">
        <v>58</v>
      </c>
      <c r="C37" s="5" t="s">
        <v>99</v>
      </c>
      <c r="D37" s="5" t="s">
        <v>181</v>
      </c>
      <c r="E37" s="5" t="s">
        <v>58</v>
      </c>
      <c r="F37" s="5" t="str">
        <f t="shared" si="0"/>
        <v>img/steps/iinsert_1.png|img/steps/iinsert_2.png|img/steps/iinsert_3.png</v>
      </c>
      <c r="G37" s="5" t="s">
        <v>16</v>
      </c>
      <c r="H37" s="5" t="s">
        <v>99</v>
      </c>
      <c r="I37" s="5" t="str">
        <f t="shared" si="1"/>
        <v>img/before/iinsert.jpg</v>
      </c>
      <c r="J37" s="5" t="str">
        <f t="shared" si="2"/>
        <v>img/after/iinsert.jpg</v>
      </c>
      <c r="K37" s="5" t="str">
        <f t="shared" si="3"/>
        <v>lisp/iinsert.lsp</v>
      </c>
      <c r="L37" s="5" t="str">
        <f t="shared" si="4"/>
        <v>code/iinsert.lsp</v>
      </c>
      <c r="M37" s="6" t="s">
        <v>195</v>
      </c>
      <c r="N37" s="3" t="s">
        <v>18</v>
      </c>
      <c r="O37" s="3" t="s">
        <v>17</v>
      </c>
      <c r="P37" s="5" t="str">
        <f t="shared" si="5"/>
        <v>36,IINSERT,ブロック,ブロック分解挿入,IINSERT,img/steps/iinsert_1.png|img/steps/iinsert_2.png|img/steps/iinsert_3.png,手順1|手順2|手順3,ブロック,img/before/iinsert.jpg,img/after/iinsert.jpg,lisp/iinsert.lsp,code/iinsert.lsp,260120,北川,stable</v>
      </c>
    </row>
    <row r="38" spans="1:16" x14ac:dyDescent="0.15">
      <c r="A38" s="5">
        <v>37</v>
      </c>
      <c r="B38" s="5" t="s">
        <v>59</v>
      </c>
      <c r="C38" s="5" t="s">
        <v>99</v>
      </c>
      <c r="D38" s="5" t="s">
        <v>145</v>
      </c>
      <c r="E38" s="5" t="s">
        <v>59</v>
      </c>
      <c r="F38" s="5" t="str">
        <f t="shared" si="0"/>
        <v>img/steps/binsert_1.png|img/steps/binsert_2.png|img/steps/binsert_3.png</v>
      </c>
      <c r="G38" s="5" t="s">
        <v>16</v>
      </c>
      <c r="H38" s="5" t="s">
        <v>99</v>
      </c>
      <c r="I38" s="5" t="str">
        <f t="shared" si="1"/>
        <v>img/before/binsert.jpg</v>
      </c>
      <c r="J38" s="5" t="str">
        <f t="shared" si="2"/>
        <v>img/after/binsert.jpg</v>
      </c>
      <c r="K38" s="5" t="str">
        <f t="shared" si="3"/>
        <v>lisp/binsert.lsp</v>
      </c>
      <c r="L38" s="5" t="str">
        <f t="shared" si="4"/>
        <v>code/binsert.lsp</v>
      </c>
      <c r="M38" s="6" t="s">
        <v>189</v>
      </c>
      <c r="N38" s="3" t="s">
        <v>18</v>
      </c>
      <c r="O38" s="3" t="s">
        <v>17</v>
      </c>
      <c r="P38" s="5" t="str">
        <f t="shared" si="5"/>
        <v>37,BINSERT,ブロック,ブロック連続挿入,BINSERT,img/steps/binsert_1.png|img/steps/binsert_2.png|img/steps/binsert_3.png,手順1|手順2|手順3,ブロック,img/before/binsert.jpg,img/after/binsert.jpg,lisp/binsert.lsp,code/binsert.lsp,260114,北川,stable</v>
      </c>
    </row>
    <row r="39" spans="1:16" x14ac:dyDescent="0.15">
      <c r="A39" s="5">
        <v>38</v>
      </c>
      <c r="B39" s="5" t="s">
        <v>60</v>
      </c>
      <c r="C39" s="5" t="s">
        <v>99</v>
      </c>
      <c r="D39" s="5" t="s">
        <v>146</v>
      </c>
      <c r="E39" s="5" t="s">
        <v>60</v>
      </c>
      <c r="F39" s="5" t="str">
        <f t="shared" si="0"/>
        <v>img/steps/bkrp_1.png|img/steps/bkrp_2.png|img/steps/bkrp_3.png</v>
      </c>
      <c r="G39" s="5" t="s">
        <v>16</v>
      </c>
      <c r="H39" s="5" t="s">
        <v>99</v>
      </c>
      <c r="I39" s="5" t="str">
        <f t="shared" si="1"/>
        <v>img/before/bkrp.jpg</v>
      </c>
      <c r="J39" s="5" t="str">
        <f t="shared" si="2"/>
        <v>img/after/bkrp.jpg</v>
      </c>
      <c r="K39" s="5" t="str">
        <f t="shared" si="3"/>
        <v>lisp/bkrp.lsp</v>
      </c>
      <c r="L39" s="5" t="str">
        <f t="shared" si="4"/>
        <v>code/bkrp.lsp</v>
      </c>
      <c r="M39" s="6">
        <v>260123</v>
      </c>
      <c r="N39" s="3" t="s">
        <v>18</v>
      </c>
      <c r="O39" s="3" t="s">
        <v>17</v>
      </c>
      <c r="P39" s="5" t="str">
        <f t="shared" si="5"/>
        <v>38,BKRP,ブロック,ブロック置換（操作簡易版）,BKRP,img/steps/bkrp_1.png|img/steps/bkrp_2.png|img/steps/bkrp_3.png,手順1|手順2|手順3,ブロック,img/before/bkrp.jpg,img/after/bkrp.jpg,lisp/bkrp.lsp,code/bkrp.lsp,260123,北川,stable</v>
      </c>
    </row>
    <row r="40" spans="1:16" x14ac:dyDescent="0.15">
      <c r="A40" s="5">
        <v>39</v>
      </c>
      <c r="B40" s="5" t="s">
        <v>61</v>
      </c>
      <c r="C40" s="5" t="s">
        <v>99</v>
      </c>
      <c r="D40" s="5" t="s">
        <v>147</v>
      </c>
      <c r="E40" s="5" t="s">
        <v>61</v>
      </c>
      <c r="F40" s="5" t="str">
        <f t="shared" si="0"/>
        <v>img/steps/laynst_1.png|img/steps/laynst_2.png|img/steps/laynst_3.png</v>
      </c>
      <c r="G40" s="5" t="s">
        <v>16</v>
      </c>
      <c r="H40" s="5" t="s">
        <v>99</v>
      </c>
      <c r="I40" s="5" t="str">
        <f t="shared" si="1"/>
        <v>img/before/laynst.jpg</v>
      </c>
      <c r="J40" s="5" t="str">
        <f t="shared" si="2"/>
        <v>img/after/laynst.jpg</v>
      </c>
      <c r="K40" s="5" t="str">
        <f t="shared" si="3"/>
        <v>lisp/laynst.lsp</v>
      </c>
      <c r="L40" s="5" t="str">
        <f t="shared" si="4"/>
        <v>code/laynst.lsp</v>
      </c>
      <c r="M40" s="6">
        <v>260121</v>
      </c>
      <c r="N40" s="3" t="s">
        <v>18</v>
      </c>
      <c r="O40" s="3" t="s">
        <v>17</v>
      </c>
      <c r="P40" s="5" t="str">
        <f t="shared" si="5"/>
        <v>39,LAYNST,ブロック,入れ子ブロックのレイヤーを変更,LAYNST,img/steps/laynst_1.png|img/steps/laynst_2.png|img/steps/laynst_3.png,手順1|手順2|手順3,ブロック,img/before/laynst.jpg,img/after/laynst.jpg,lisp/laynst.lsp,code/laynst.lsp,260121,北川,stable</v>
      </c>
    </row>
    <row r="41" spans="1:16" x14ac:dyDescent="0.15">
      <c r="A41" s="5">
        <v>40</v>
      </c>
      <c r="B41" s="5" t="s">
        <v>62</v>
      </c>
      <c r="C41" s="5" t="s">
        <v>99</v>
      </c>
      <c r="D41" s="5" t="s">
        <v>148</v>
      </c>
      <c r="E41" s="5" t="s">
        <v>62</v>
      </c>
      <c r="F41" s="5" t="str">
        <f t="shared" si="0"/>
        <v>img/steps/wbinsert_1.png|img/steps/wbinsert_2.png|img/steps/wbinsert_3.png</v>
      </c>
      <c r="G41" s="5" t="s">
        <v>16</v>
      </c>
      <c r="H41" s="5" t="s">
        <v>99</v>
      </c>
      <c r="I41" s="5" t="str">
        <f t="shared" si="1"/>
        <v>img/before/wbinsert.jpg</v>
      </c>
      <c r="J41" s="5" t="str">
        <f t="shared" si="2"/>
        <v>img/after/wbinsert.jpg</v>
      </c>
      <c r="K41" s="5" t="str">
        <f t="shared" si="3"/>
        <v>lisp/wbinsert.lsp</v>
      </c>
      <c r="L41" s="5" t="str">
        <f t="shared" si="4"/>
        <v>code/wbinsert.lsp</v>
      </c>
      <c r="M41" s="6">
        <v>260121</v>
      </c>
      <c r="N41" s="3" t="s">
        <v>18</v>
      </c>
      <c r="O41" s="3" t="s">
        <v>17</v>
      </c>
      <c r="P41" s="5" t="str">
        <f t="shared" si="5"/>
        <v>40,WBINSERT,ブロック,ブロックをWBLOCKし名前を付け入れ子状態にし、挿入する。※入れ子ブロックを作成するコマンド,WBINSERT,img/steps/wbinsert_1.png|img/steps/wbinsert_2.png|img/steps/wbinsert_3.png,手順1|手順2|手順3,ブロック,img/before/wbinsert.jpg,img/after/wbinsert.jpg,lisp/wbinsert.lsp,code/wbinsert.lsp,260121,北川,stable</v>
      </c>
    </row>
    <row r="42" spans="1:16" x14ac:dyDescent="0.15">
      <c r="A42" s="5">
        <v>41</v>
      </c>
      <c r="B42" s="5" t="s">
        <v>89</v>
      </c>
      <c r="C42" s="5" t="s">
        <v>99</v>
      </c>
      <c r="D42" s="5" t="s">
        <v>149</v>
      </c>
      <c r="E42" s="5" t="s">
        <v>21</v>
      </c>
      <c r="F42" s="5" t="str">
        <f t="shared" si="0"/>
        <v>img/steps/blkrename_1.png|img/steps/blkrename_2.png|img/steps/blkrename_3.png</v>
      </c>
      <c r="G42" s="5" t="s">
        <v>16</v>
      </c>
      <c r="H42" s="5" t="s">
        <v>99</v>
      </c>
      <c r="I42" s="5" t="str">
        <f t="shared" si="1"/>
        <v>img/before/blkrename.jpg</v>
      </c>
      <c r="J42" s="5" t="str">
        <f t="shared" si="2"/>
        <v>img/after/blkrename.jpg</v>
      </c>
      <c r="K42" s="5" t="str">
        <f t="shared" si="3"/>
        <v>lisp/blkrename.lsp</v>
      </c>
      <c r="L42" s="5" t="str">
        <f t="shared" si="4"/>
        <v>code/blkrename.lsp</v>
      </c>
      <c r="M42" s="6">
        <v>260106</v>
      </c>
      <c r="N42" s="3" t="s">
        <v>18</v>
      </c>
      <c r="O42" s="3" t="s">
        <v>17</v>
      </c>
      <c r="P42" s="5" t="str">
        <f t="shared" si="5"/>
        <v>41,BLKRENAME,ブロック,図面内ブロックの一括名前変更,BLKRENAME（一括ブロック名前変更）,img/steps/blkrename_1.png|img/steps/blkrename_2.png|img/steps/blkrename_3.png,手順1|手順2|手順3,ブロック,img/before/blkrename.jpg,img/after/blkrename.jpg,lisp/blkrename.lsp,code/blkrename.lsp,260106,北川,stable</v>
      </c>
    </row>
    <row r="43" spans="1:16" x14ac:dyDescent="0.15">
      <c r="A43" s="5">
        <v>42</v>
      </c>
      <c r="B43" s="5" t="s">
        <v>63</v>
      </c>
      <c r="C43" s="5" t="s">
        <v>99</v>
      </c>
      <c r="D43" s="5" t="s">
        <v>150</v>
      </c>
      <c r="E43" s="5" t="s">
        <v>63</v>
      </c>
      <c r="F43" s="5" t="str">
        <f t="shared" si="0"/>
        <v>img/steps/bldel_1.png|img/steps/bldel_2.png|img/steps/bldel_3.png</v>
      </c>
      <c r="G43" s="5" t="s">
        <v>16</v>
      </c>
      <c r="H43" s="5" t="s">
        <v>99</v>
      </c>
      <c r="I43" s="5" t="str">
        <f t="shared" si="1"/>
        <v>img/before/bldel.jpg</v>
      </c>
      <c r="J43" s="5" t="str">
        <f t="shared" si="2"/>
        <v>img/after/bldel.jpg</v>
      </c>
      <c r="K43" s="5" t="str">
        <f t="shared" si="3"/>
        <v>lisp/bldel.lsp</v>
      </c>
      <c r="L43" s="5" t="str">
        <f t="shared" si="4"/>
        <v>code/bldel.lsp</v>
      </c>
      <c r="M43" s="6" t="s">
        <v>196</v>
      </c>
      <c r="N43" s="3" t="s">
        <v>18</v>
      </c>
      <c r="O43" s="3" t="s">
        <v>17</v>
      </c>
      <c r="P43" s="5" t="str">
        <f t="shared" si="5"/>
        <v>42,BLDEL,ブロック,選択ブロック内の入れ子ブロックのみ全て削除,BLDEL,img/steps/bldel_1.png|img/steps/bldel_2.png|img/steps/bldel_3.png,手順1|手順2|手順3,ブロック,img/before/bldel.jpg,img/after/bldel.jpg,lisp/bldel.lsp,code/bldel.lsp,260306,北川,stable</v>
      </c>
    </row>
    <row r="44" spans="1:16" x14ac:dyDescent="0.15">
      <c r="A44" s="5">
        <v>43</v>
      </c>
      <c r="B44" s="5" t="s">
        <v>64</v>
      </c>
      <c r="C44" s="5" t="s">
        <v>99</v>
      </c>
      <c r="D44" s="5" t="s">
        <v>151</v>
      </c>
      <c r="E44" s="5" t="s">
        <v>64</v>
      </c>
      <c r="F44" s="5" t="str">
        <f t="shared" si="0"/>
        <v>img/steps/blchg_1.png|img/steps/blchg_2.png|img/steps/blchg_3.png</v>
      </c>
      <c r="G44" s="5" t="s">
        <v>16</v>
      </c>
      <c r="H44" s="5" t="s">
        <v>99</v>
      </c>
      <c r="I44" s="5" t="str">
        <f t="shared" si="1"/>
        <v>img/before/blchg.jpg</v>
      </c>
      <c r="J44" s="5" t="str">
        <f t="shared" si="2"/>
        <v>img/after/blchg.jpg</v>
      </c>
      <c r="K44" s="5" t="str">
        <f t="shared" si="3"/>
        <v>lisp/blchg.lsp</v>
      </c>
      <c r="L44" s="5" t="str">
        <f t="shared" si="4"/>
        <v>code/blchg.lsp</v>
      </c>
      <c r="M44" s="6" t="s">
        <v>196</v>
      </c>
      <c r="N44" s="3" t="s">
        <v>18</v>
      </c>
      <c r="O44" s="3" t="s">
        <v>17</v>
      </c>
      <c r="P44" s="5" t="str">
        <f t="shared" si="5"/>
        <v>43,BLCHG,ブロック,選択ブロック内オブジェクト全てのレイヤーを任意のレイヤーに強制変換する,BLCHG,img/steps/blchg_1.png|img/steps/blchg_2.png|img/steps/blchg_3.png,手順1|手順2|手順3,ブロック,img/before/blchg.jpg,img/after/blchg.jpg,lisp/blchg.lsp,code/blchg.lsp,260306,北川,stable</v>
      </c>
    </row>
    <row r="45" spans="1:16" x14ac:dyDescent="0.15">
      <c r="A45" s="5">
        <v>44</v>
      </c>
      <c r="B45" s="5" t="s">
        <v>65</v>
      </c>
      <c r="C45" s="5" t="s">
        <v>99</v>
      </c>
      <c r="D45" s="5" t="s">
        <v>152</v>
      </c>
      <c r="E45" s="5" t="s">
        <v>65</v>
      </c>
      <c r="F45" s="5" t="str">
        <f t="shared" si="0"/>
        <v>img/steps/blinsert_1.png|img/steps/blinsert_2.png|img/steps/blinsert_3.png</v>
      </c>
      <c r="G45" s="5" t="s">
        <v>16</v>
      </c>
      <c r="H45" s="5" t="s">
        <v>99</v>
      </c>
      <c r="I45" s="5" t="str">
        <f t="shared" si="1"/>
        <v>img/before/blinsert.jpg</v>
      </c>
      <c r="J45" s="5" t="str">
        <f t="shared" si="2"/>
        <v>img/after/blinsert.jpg</v>
      </c>
      <c r="K45" s="5" t="str">
        <f t="shared" si="3"/>
        <v>lisp/blinsert.lsp</v>
      </c>
      <c r="L45" s="5" t="str">
        <f t="shared" si="4"/>
        <v>code/blinsert.lsp</v>
      </c>
      <c r="M45" s="6" t="s">
        <v>196</v>
      </c>
      <c r="N45" s="3" t="s">
        <v>18</v>
      </c>
      <c r="O45" s="3" t="s">
        <v>17</v>
      </c>
      <c r="P45" s="5" t="str">
        <f t="shared" si="5"/>
        <v>44,BLINSERT,ブロック,任意のブロック内に、別のブロックを基点0,0挿入,BLINSERT,img/steps/blinsert_1.png|img/steps/blinsert_2.png|img/steps/blinsert_3.png,手順1|手順2|手順3,ブロック,img/before/blinsert.jpg,img/after/blinsert.jpg,lisp/blinsert.lsp,code/blinsert.lsp,260306,北川,stable</v>
      </c>
    </row>
    <row r="46" spans="1:16" x14ac:dyDescent="0.15">
      <c r="A46" s="5">
        <v>45</v>
      </c>
      <c r="B46" s="5" t="s">
        <v>66</v>
      </c>
      <c r="C46" s="5" t="s">
        <v>100</v>
      </c>
      <c r="D46" s="5" t="s">
        <v>153</v>
      </c>
      <c r="E46" s="5" t="s">
        <v>66</v>
      </c>
      <c r="F46" s="5" t="str">
        <f t="shared" si="0"/>
        <v>img/steps/hbperf_1.png|img/steps/hbperf_2.png|img/steps/hbperf_3.png</v>
      </c>
      <c r="G46" s="5" t="s">
        <v>16</v>
      </c>
      <c r="H46" s="5" t="s">
        <v>100</v>
      </c>
      <c r="I46" s="5" t="str">
        <f t="shared" si="1"/>
        <v>img/before/hbperf.jpg</v>
      </c>
      <c r="J46" s="5" t="str">
        <f t="shared" si="2"/>
        <v>img/after/hbperf.jpg</v>
      </c>
      <c r="K46" s="5" t="str">
        <f t="shared" si="3"/>
        <v>lisp/hbperf.lsp</v>
      </c>
      <c r="L46" s="5" t="str">
        <f t="shared" si="4"/>
        <v>code/hbperf.lsp</v>
      </c>
      <c r="M46" s="6" t="s">
        <v>197</v>
      </c>
      <c r="N46" s="3" t="s">
        <v>18</v>
      </c>
      <c r="O46" s="3" t="s">
        <v>17</v>
      </c>
      <c r="P46" s="5" t="str">
        <f t="shared" si="5"/>
        <v>45,HBPERF,ハッチング,ブロックや入れ子ブロック内もハッチング最背面に変更,HBPERF,img/steps/hbperf_1.png|img/steps/hbperf_2.png|img/steps/hbperf_3.png,手順1|手順2|手順3,ハッチング,img/before/hbperf.jpg,img/after/hbperf.jpg,lisp/hbperf.lsp,code/hbperf.lsp,260218,北川,stable</v>
      </c>
    </row>
    <row r="47" spans="1:16" x14ac:dyDescent="0.15">
      <c r="A47" s="5">
        <v>46</v>
      </c>
      <c r="B47" s="5" t="s">
        <v>67</v>
      </c>
      <c r="C47" s="5" t="s">
        <v>100</v>
      </c>
      <c r="D47" s="5" t="s">
        <v>154</v>
      </c>
      <c r="E47" s="5" t="s">
        <v>67</v>
      </c>
      <c r="F47" s="5" t="str">
        <f t="shared" si="0"/>
        <v>img/steps/hpp_1.png|img/steps/hpp_2.png|img/steps/hpp_3.png</v>
      </c>
      <c r="G47" s="5" t="s">
        <v>16</v>
      </c>
      <c r="H47" s="5" t="s">
        <v>100</v>
      </c>
      <c r="I47" s="5" t="str">
        <f t="shared" si="1"/>
        <v>img/before/hpp.jpg</v>
      </c>
      <c r="J47" s="5" t="str">
        <f t="shared" si="2"/>
        <v>img/after/hpp.jpg</v>
      </c>
      <c r="K47" s="5" t="str">
        <f t="shared" si="3"/>
        <v>lisp/hpp.lsp</v>
      </c>
      <c r="L47" s="5" t="str">
        <f t="shared" si="4"/>
        <v>code/hpp.lsp</v>
      </c>
      <c r="M47" s="6">
        <v>260120</v>
      </c>
      <c r="N47" s="3" t="s">
        <v>18</v>
      </c>
      <c r="O47" s="3" t="s">
        <v>17</v>
      </c>
      <c r="P47" s="5" t="str">
        <f t="shared" si="5"/>
        <v>46,HPP,ハッチング,ハッチングとそのエリアを同時に作成,HPP,img/steps/hpp_1.png|img/steps/hpp_2.png|img/steps/hpp_3.png,手順1|手順2|手順3,ハッチング,img/before/hpp.jpg,img/after/hpp.jpg,lisp/hpp.lsp,code/hpp.lsp,260120,北川,stable</v>
      </c>
    </row>
    <row r="48" spans="1:16" x14ac:dyDescent="0.15">
      <c r="A48" s="5">
        <v>47</v>
      </c>
      <c r="B48" s="5" t="s">
        <v>68</v>
      </c>
      <c r="C48" s="5" t="s">
        <v>101</v>
      </c>
      <c r="D48" s="5" t="s">
        <v>155</v>
      </c>
      <c r="E48" s="5" t="s">
        <v>68</v>
      </c>
      <c r="F48" s="5" t="str">
        <f t="shared" si="0"/>
        <v>img/steps/kyusekizu_1.png|img/steps/kyusekizu_2.png|img/steps/kyusekizu_3.png</v>
      </c>
      <c r="G48" s="5" t="s">
        <v>16</v>
      </c>
      <c r="H48" s="5" t="s">
        <v>101</v>
      </c>
      <c r="I48" s="5" t="str">
        <f t="shared" si="1"/>
        <v>img/before/kyusekizu.jpg</v>
      </c>
      <c r="J48" s="5" t="str">
        <f t="shared" si="2"/>
        <v>img/after/kyusekizu.jpg</v>
      </c>
      <c r="K48" s="5" t="str">
        <f t="shared" si="3"/>
        <v>lisp/kyusekizu.lsp</v>
      </c>
      <c r="L48" s="5" t="str">
        <f t="shared" si="4"/>
        <v>code/kyusekizu.lsp</v>
      </c>
      <c r="M48" s="6" t="s">
        <v>198</v>
      </c>
      <c r="N48" s="3" t="s">
        <v>18</v>
      </c>
      <c r="O48" s="3" t="s">
        <v>17</v>
      </c>
      <c r="P48" s="5" t="str">
        <f t="shared" si="5"/>
        <v>47,KYUSEKIZU,ツール,求積図の一部自動作図と調整（寸法作図調整+番号ブロック追加）,KYUSEKIZU,img/steps/kyusekizu_1.png|img/steps/kyusekizu_2.png|img/steps/kyusekizu_3.png,手順1|手順2|手順3,ツール,img/before/kyusekizu.jpg,img/after/kyusekizu.jpg,lisp/kyusekizu.lsp,code/kyusekizu.lsp,260216,北川,stable</v>
      </c>
    </row>
    <row r="49" spans="1:16" x14ac:dyDescent="0.15">
      <c r="A49" s="5">
        <v>48</v>
      </c>
      <c r="B49" s="5" t="s">
        <v>69</v>
      </c>
      <c r="C49" s="5" t="s">
        <v>102</v>
      </c>
      <c r="D49" s="5" t="s">
        <v>156</v>
      </c>
      <c r="E49" s="5" t="s">
        <v>69</v>
      </c>
      <c r="F49" s="5" t="str">
        <f t="shared" si="0"/>
        <v>img/steps/plpoint_1.png|img/steps/plpoint_2.png|img/steps/plpoint_3.png</v>
      </c>
      <c r="G49" s="5" t="s">
        <v>16</v>
      </c>
      <c r="H49" s="5" t="s">
        <v>102</v>
      </c>
      <c r="I49" s="5" t="str">
        <f t="shared" si="1"/>
        <v>img/before/plpoint.jpg</v>
      </c>
      <c r="J49" s="5" t="str">
        <f t="shared" si="2"/>
        <v>img/after/plpoint.jpg</v>
      </c>
      <c r="K49" s="5" t="str">
        <f t="shared" si="3"/>
        <v>lisp/plpoint.lsp</v>
      </c>
      <c r="L49" s="5" t="str">
        <f t="shared" si="4"/>
        <v>code/plpoint.lsp</v>
      </c>
      <c r="M49" s="6" t="s">
        <v>199</v>
      </c>
      <c r="N49" s="3" t="s">
        <v>18</v>
      </c>
      <c r="O49" s="3" t="s">
        <v>17</v>
      </c>
      <c r="P49" s="5" t="str">
        <f t="shared" si="5"/>
        <v>48,PLPOINT,ポリライン,ポリラインの中心に頂点をつくる,PLPOINT,img/steps/plpoint_1.png|img/steps/plpoint_2.png|img/steps/plpoint_3.png,手順1|手順2|手順3,ポリライン,img/before/plpoint.jpg,img/after/plpoint.jpg,lisp/plpoint.lsp,code/plpoint.lsp,260214,北川,stable</v>
      </c>
    </row>
    <row r="50" spans="1:16" x14ac:dyDescent="0.15">
      <c r="A50" s="5">
        <v>49</v>
      </c>
      <c r="B50" s="5" t="s">
        <v>70</v>
      </c>
      <c r="C50" s="5" t="s">
        <v>102</v>
      </c>
      <c r="D50" s="5" t="s">
        <v>182</v>
      </c>
      <c r="E50" s="5" t="s">
        <v>70</v>
      </c>
      <c r="F50" s="5" t="str">
        <f t="shared" si="0"/>
        <v>img/steps/plclean_1.png|img/steps/plclean_2.png|img/steps/plclean_3.png</v>
      </c>
      <c r="G50" s="5" t="s">
        <v>16</v>
      </c>
      <c r="H50" s="5" t="s">
        <v>102</v>
      </c>
      <c r="I50" s="5" t="str">
        <f t="shared" si="1"/>
        <v>img/before/plclean.jpg</v>
      </c>
      <c r="J50" s="5" t="str">
        <f t="shared" si="2"/>
        <v>img/after/plclean.jpg</v>
      </c>
      <c r="K50" s="5" t="str">
        <f t="shared" si="3"/>
        <v>lisp/plclean.lsp</v>
      </c>
      <c r="L50" s="5" t="str">
        <f t="shared" si="4"/>
        <v>code/plclean.lsp</v>
      </c>
      <c r="M50" s="6" t="s">
        <v>200</v>
      </c>
      <c r="N50" s="3" t="s">
        <v>18</v>
      </c>
      <c r="O50" s="3" t="s">
        <v>17</v>
      </c>
      <c r="P50" s="5" t="str">
        <f t="shared" si="5"/>
        <v>49,PLCLEAN,ポリライン,ポリラインの寸法を、キリの良い数値（0.5単位など）に強制的に丸めて整列させる,PLCLEAN,img/steps/plclean_1.png|img/steps/plclean_2.png|img/steps/plclean_3.png,手順1|手順2|手順3,ポリライン,img/before/plclean.jpg,img/after/plclean.jpg,lisp/plclean.lsp,code/plclean.lsp,260212,北川,stable</v>
      </c>
    </row>
    <row r="51" spans="1:16" x14ac:dyDescent="0.15">
      <c r="A51" s="5">
        <v>50</v>
      </c>
      <c r="B51" s="5" t="s">
        <v>71</v>
      </c>
      <c r="C51" s="5" t="s">
        <v>102</v>
      </c>
      <c r="D51" s="5" t="s">
        <v>157</v>
      </c>
      <c r="E51" s="5" t="s">
        <v>71</v>
      </c>
      <c r="F51" s="5" t="str">
        <f t="shared" si="0"/>
        <v>img/steps/getoutline_1.png|img/steps/getoutline_2.png|img/steps/getoutline_3.png</v>
      </c>
      <c r="G51" s="5" t="s">
        <v>16</v>
      </c>
      <c r="H51" s="5" t="s">
        <v>102</v>
      </c>
      <c r="I51" s="5" t="str">
        <f t="shared" si="1"/>
        <v>img/before/getoutline.jpg</v>
      </c>
      <c r="J51" s="5" t="str">
        <f t="shared" si="2"/>
        <v>img/after/getoutline.jpg</v>
      </c>
      <c r="K51" s="5" t="str">
        <f t="shared" si="3"/>
        <v>lisp/getoutline.lsp</v>
      </c>
      <c r="L51" s="5" t="str">
        <f t="shared" si="4"/>
        <v>code/getoutline.lsp</v>
      </c>
      <c r="M51" s="6" t="s">
        <v>200</v>
      </c>
      <c r="N51" s="3" t="s">
        <v>18</v>
      </c>
      <c r="O51" s="3" t="s">
        <v>17</v>
      </c>
      <c r="P51" s="5" t="str">
        <f t="shared" si="5"/>
        <v>50,GETOUTLINE,ポリライン,ブロックやオブジェクト群の周囲をポリライン化する,GETOUTLINE,img/steps/getoutline_1.png|img/steps/getoutline_2.png|img/steps/getoutline_3.png,手順1|手順2|手順3,ポリライン,img/before/getoutline.jpg,img/after/getoutline.jpg,lisp/getoutline.lsp,code/getoutline.lsp,260212,北川,stable</v>
      </c>
    </row>
    <row r="52" spans="1:16" x14ac:dyDescent="0.15">
      <c r="A52" s="5">
        <v>51</v>
      </c>
      <c r="B52" s="5" t="s">
        <v>72</v>
      </c>
      <c r="C52" s="5" t="s">
        <v>102</v>
      </c>
      <c r="D52" s="5" t="s">
        <v>158</v>
      </c>
      <c r="E52" s="5" t="s">
        <v>72</v>
      </c>
      <c r="F52" s="5" t="str">
        <f t="shared" si="0"/>
        <v>img/steps/plb_1.png|img/steps/plb_2.png|img/steps/plb_3.png</v>
      </c>
      <c r="G52" s="5" t="s">
        <v>16</v>
      </c>
      <c r="H52" s="5" t="s">
        <v>102</v>
      </c>
      <c r="I52" s="5" t="str">
        <f t="shared" si="1"/>
        <v>img/before/plb.jpg</v>
      </c>
      <c r="J52" s="5" t="str">
        <f t="shared" si="2"/>
        <v>img/after/plb.jpg</v>
      </c>
      <c r="K52" s="5" t="str">
        <f t="shared" si="3"/>
        <v>lisp/plb.lsp</v>
      </c>
      <c r="L52" s="5" t="str">
        <f t="shared" si="4"/>
        <v>code/plb.lsp</v>
      </c>
      <c r="M52" s="6" t="s">
        <v>189</v>
      </c>
      <c r="N52" s="3" t="s">
        <v>18</v>
      </c>
      <c r="O52" s="3" t="s">
        <v>17</v>
      </c>
      <c r="P52" s="5" t="str">
        <f t="shared" si="5"/>
        <v>51,PLB,ポリライン,ポリラインを最背面にする。（HATCHTOBACKのポリラン版）,PLB,img/steps/plb_1.png|img/steps/plb_2.png|img/steps/plb_3.png,手順1|手順2|手順3,ポリライン,img/before/plb.jpg,img/after/plb.jpg,lisp/plb.lsp,code/plb.lsp,260114,北川,stable</v>
      </c>
    </row>
    <row r="53" spans="1:16" x14ac:dyDescent="0.15">
      <c r="A53" s="5">
        <v>52</v>
      </c>
      <c r="B53" s="5" t="s">
        <v>73</v>
      </c>
      <c r="C53" s="5" t="s">
        <v>102</v>
      </c>
      <c r="D53" s="5" t="s">
        <v>183</v>
      </c>
      <c r="E53" s="5" t="s">
        <v>73</v>
      </c>
      <c r="F53" s="5" t="str">
        <f t="shared" si="0"/>
        <v>img/steps/plchk_1.png|img/steps/plchk_2.png|img/steps/plchk_3.png</v>
      </c>
      <c r="G53" s="5" t="s">
        <v>16</v>
      </c>
      <c r="H53" s="5" t="s">
        <v>102</v>
      </c>
      <c r="I53" s="5" t="str">
        <f t="shared" si="1"/>
        <v>img/before/plchk.jpg</v>
      </c>
      <c r="J53" s="5" t="str">
        <f t="shared" si="2"/>
        <v>img/after/plchk.jpg</v>
      </c>
      <c r="K53" s="5" t="str">
        <f t="shared" si="3"/>
        <v>lisp/plchk.lsp</v>
      </c>
      <c r="L53" s="5" t="str">
        <f t="shared" si="4"/>
        <v>code/plchk.lsp</v>
      </c>
      <c r="M53" s="6" t="s">
        <v>186</v>
      </c>
      <c r="N53" s="3" t="s">
        <v>18</v>
      </c>
      <c r="O53" s="3" t="s">
        <v>17</v>
      </c>
      <c r="P53" s="5" t="str">
        <f t="shared" si="5"/>
        <v>52,PLCHK,ポリライン,ポリラインの角（かど）を調べ、直角(90°)や直線(180°)ではない『中途半端な角度』をあぶり出す,PLCHK,img/steps/plchk_1.png|img/steps/plchk_2.png|img/steps/plchk_3.png,手順1|手順2|手順3,ポリライン,img/before/plchk.jpg,img/after/plchk.jpg,lisp/plchk.lsp,code/plchk.lsp,260202,北川,stable</v>
      </c>
    </row>
    <row r="54" spans="1:16" x14ac:dyDescent="0.15">
      <c r="A54" s="5">
        <v>53</v>
      </c>
      <c r="B54" s="5" t="s">
        <v>74</v>
      </c>
      <c r="C54" s="5" t="s">
        <v>103</v>
      </c>
      <c r="D54" s="5" t="s">
        <v>159</v>
      </c>
      <c r="E54" s="5" t="s">
        <v>74</v>
      </c>
      <c r="F54" s="5" t="str">
        <f t="shared" si="0"/>
        <v>img/steps/cclip00 _1.png|img/steps/cclip00 _2.png|img/steps/cclip00 _3.png</v>
      </c>
      <c r="G54" s="5" t="s">
        <v>16</v>
      </c>
      <c r="H54" s="5" t="s">
        <v>103</v>
      </c>
      <c r="I54" s="5" t="str">
        <f t="shared" si="1"/>
        <v>img/before/cclip00 .jpg</v>
      </c>
      <c r="J54" s="5" t="str">
        <f t="shared" si="2"/>
        <v>img/after/cclip00 .jpg</v>
      </c>
      <c r="K54" s="5" t="str">
        <f t="shared" si="3"/>
        <v>lisp/cclip00 .lsp</v>
      </c>
      <c r="L54" s="5" t="str">
        <f t="shared" si="4"/>
        <v>code/cclip00 .lsp</v>
      </c>
      <c r="M54" s="6">
        <v>250416</v>
      </c>
      <c r="N54" s="3" t="s">
        <v>18</v>
      </c>
      <c r="O54" s="3" t="s">
        <v>17</v>
      </c>
      <c r="P54" s="5" t="str">
        <f t="shared" si="5"/>
        <v>53,CCLIP00 ,コピー,絶対座標の基点0,0でコピークリップする,CCLIP00 ,img/steps/cclip00 _1.png|img/steps/cclip00 _2.png|img/steps/cclip00 _3.png,手順1|手順2|手順3,コピー,img/before/cclip00 .jpg,img/after/cclip00 .jpg,lisp/cclip00 .lsp,code/cclip00 .lsp,250416,北川,stable</v>
      </c>
    </row>
    <row r="55" spans="1:16" x14ac:dyDescent="0.15">
      <c r="A55" s="5">
        <v>54</v>
      </c>
      <c r="B55" s="5" t="s">
        <v>90</v>
      </c>
      <c r="C55" s="5" t="s">
        <v>104</v>
      </c>
      <c r="D55" s="5" t="s">
        <v>160</v>
      </c>
      <c r="E55" s="5" t="s">
        <v>22</v>
      </c>
      <c r="F55" s="5" t="str">
        <f t="shared" si="0"/>
        <v>img/steps/paste00_1.png|img/steps/paste00_2.png|img/steps/paste00_3.png</v>
      </c>
      <c r="G55" s="5" t="s">
        <v>16</v>
      </c>
      <c r="H55" s="5" t="s">
        <v>104</v>
      </c>
      <c r="I55" s="5" t="str">
        <f t="shared" si="1"/>
        <v>img/before/paste00.jpg</v>
      </c>
      <c r="J55" s="5" t="str">
        <f t="shared" si="2"/>
        <v>img/after/paste00.jpg</v>
      </c>
      <c r="K55" s="5" t="str">
        <f t="shared" si="3"/>
        <v>lisp/paste00.lsp</v>
      </c>
      <c r="L55" s="5" t="str">
        <f t="shared" si="4"/>
        <v>code/paste00.lsp</v>
      </c>
      <c r="M55" s="6">
        <v>250416</v>
      </c>
      <c r="N55" s="3" t="s">
        <v>18</v>
      </c>
      <c r="O55" s="3" t="s">
        <v>17</v>
      </c>
      <c r="P55" s="5" t="str">
        <f t="shared" si="5"/>
        <v>54,PASTE00,貼付,絶対座標の基点0,0に貼り付ける,PASTE00 (基点00貼付),img/steps/paste00_1.png|img/steps/paste00_2.png|img/steps/paste00_3.png,手順1|手順2|手順3,貼付,img/before/paste00.jpg,img/after/paste00.jpg,lisp/paste00.lsp,code/paste00.lsp,250416,北川,stable</v>
      </c>
    </row>
    <row r="56" spans="1:16" x14ac:dyDescent="0.15">
      <c r="A56" s="5">
        <v>55</v>
      </c>
      <c r="B56" s="5" t="s">
        <v>75</v>
      </c>
      <c r="C56" s="5" t="s">
        <v>105</v>
      </c>
      <c r="D56" s="5" t="s">
        <v>161</v>
      </c>
      <c r="E56" s="5" t="s">
        <v>75</v>
      </c>
      <c r="F56" s="5" t="str">
        <f t="shared" si="0"/>
        <v>img/steps/cut00_1.png|img/steps/cut00_2.png|img/steps/cut00_3.png</v>
      </c>
      <c r="G56" s="5" t="s">
        <v>16</v>
      </c>
      <c r="H56" s="5" t="s">
        <v>105</v>
      </c>
      <c r="I56" s="5" t="str">
        <f t="shared" si="1"/>
        <v>img/before/cut00.jpg</v>
      </c>
      <c r="J56" s="5" t="str">
        <f t="shared" si="2"/>
        <v>img/after/cut00.jpg</v>
      </c>
      <c r="K56" s="5" t="str">
        <f t="shared" si="3"/>
        <v>lisp/cut00.lsp</v>
      </c>
      <c r="L56" s="5" t="str">
        <f t="shared" si="4"/>
        <v>code/cut00.lsp</v>
      </c>
      <c r="M56" s="6" t="s">
        <v>201</v>
      </c>
      <c r="N56" s="3" t="s">
        <v>18</v>
      </c>
      <c r="O56" s="3" t="s">
        <v>17</v>
      </c>
      <c r="P56" s="5" t="str">
        <f t="shared" si="5"/>
        <v>55,CUT00,切り取り,絶対座標の基点0,0で切り取る,CUT00,img/steps/cut00_1.png|img/steps/cut00_2.png|img/steps/cut00_3.png,手順1|手順2|手順3,切り取り,img/before/cut00.jpg,img/after/cut00.jpg,lisp/cut00.lsp,code/cut00.lsp,260313,北川,stable</v>
      </c>
    </row>
    <row r="57" spans="1:16" x14ac:dyDescent="0.15">
      <c r="A57" s="5">
        <v>56</v>
      </c>
      <c r="B57" s="5" t="s">
        <v>76</v>
      </c>
      <c r="C57" s="5" t="s">
        <v>105</v>
      </c>
      <c r="D57" s="5" t="s">
        <v>162</v>
      </c>
      <c r="E57" s="5" t="s">
        <v>76</v>
      </c>
      <c r="F57" s="5" t="str">
        <f t="shared" si="0"/>
        <v>img/steps/cutbase_1.png|img/steps/cutbase_2.png|img/steps/cutbase_3.png</v>
      </c>
      <c r="G57" s="5" t="s">
        <v>16</v>
      </c>
      <c r="H57" s="5" t="s">
        <v>105</v>
      </c>
      <c r="I57" s="5" t="str">
        <f t="shared" si="1"/>
        <v>img/before/cutbase.jpg</v>
      </c>
      <c r="J57" s="5" t="str">
        <f t="shared" si="2"/>
        <v>img/after/cutbase.jpg</v>
      </c>
      <c r="K57" s="5" t="str">
        <f t="shared" si="3"/>
        <v>lisp/cutbase.lsp</v>
      </c>
      <c r="L57" s="5" t="str">
        <f t="shared" si="4"/>
        <v>code/cutbase.lsp</v>
      </c>
      <c r="M57" s="6" t="s">
        <v>202</v>
      </c>
      <c r="N57" s="3" t="s">
        <v>18</v>
      </c>
      <c r="O57" s="3" t="s">
        <v>17</v>
      </c>
      <c r="P57" s="5" t="str">
        <f t="shared" si="5"/>
        <v>56,CUTBASE,切り取り,基点切り取り,CUTBASE,img/steps/cutbase_1.png|img/steps/cutbase_2.png|img/steps/cutbase_3.png,手順1|手順2|手順3,切り取り,img/before/cutbase.jpg,img/after/cutbase.jpg,lisp/cutbase.lsp,code/cutbase.lsp,260302,北川,stable</v>
      </c>
    </row>
    <row r="58" spans="1:16" x14ac:dyDescent="0.15">
      <c r="A58" s="5">
        <v>57</v>
      </c>
      <c r="B58" s="5" t="s">
        <v>77</v>
      </c>
      <c r="C58" s="5" t="s">
        <v>106</v>
      </c>
      <c r="D58" s="5" t="s">
        <v>163</v>
      </c>
      <c r="E58" s="5" t="s">
        <v>77</v>
      </c>
      <c r="F58" s="5" t="str">
        <f t="shared" si="0"/>
        <v>img/steps/paperzoomall_1.png|img/steps/paperzoomall_2.png|img/steps/paperzoomall_3.png</v>
      </c>
      <c r="G58" s="5" t="s">
        <v>16</v>
      </c>
      <c r="H58" s="5" t="s">
        <v>106</v>
      </c>
      <c r="I58" s="5" t="str">
        <f t="shared" si="1"/>
        <v>img/before/paperzoomall.jpg</v>
      </c>
      <c r="J58" s="5" t="str">
        <f t="shared" si="2"/>
        <v>img/after/paperzoomall.jpg</v>
      </c>
      <c r="K58" s="5" t="str">
        <f t="shared" si="3"/>
        <v>lisp/paperzoomall.lsp</v>
      </c>
      <c r="L58" s="5" t="str">
        <f t="shared" si="4"/>
        <v>code/paperzoomall.lsp</v>
      </c>
      <c r="M58" s="6">
        <v>251010</v>
      </c>
      <c r="N58" s="3" t="s">
        <v>18</v>
      </c>
      <c r="O58" s="3" t="s">
        <v>17</v>
      </c>
      <c r="P58" s="5" t="str">
        <f t="shared" si="5"/>
        <v>57,PAPERZOOMALL,レイアウト,複数レイアウト内の表示を一括で全て全画面にする,PAPERZOOMALL,img/steps/paperzoomall_1.png|img/steps/paperzoomall_2.png|img/steps/paperzoomall_3.png,手順1|手順2|手順3,レイアウト,img/before/paperzoomall.jpg,img/after/paperzoomall.jpg,lisp/paperzoomall.lsp,code/paperzoomall.lsp,251010,北川,stable</v>
      </c>
    </row>
    <row r="59" spans="1:16" x14ac:dyDescent="0.15">
      <c r="A59" s="5">
        <v>58</v>
      </c>
      <c r="B59" s="5" t="s">
        <v>78</v>
      </c>
      <c r="C59" s="5" t="s">
        <v>106</v>
      </c>
      <c r="D59" s="5" t="s">
        <v>164</v>
      </c>
      <c r="E59" s="5" t="s">
        <v>78</v>
      </c>
      <c r="F59" s="5" t="str">
        <f t="shared" si="0"/>
        <v>img/steps/frm_1.png|img/steps/frm_2.png|img/steps/frm_3.png</v>
      </c>
      <c r="G59" s="5" t="s">
        <v>16</v>
      </c>
      <c r="H59" s="5" t="s">
        <v>106</v>
      </c>
      <c r="I59" s="5" t="str">
        <f t="shared" si="1"/>
        <v>img/before/frm.jpg</v>
      </c>
      <c r="J59" s="5" t="str">
        <f t="shared" si="2"/>
        <v>img/after/frm.jpg</v>
      </c>
      <c r="K59" s="5" t="str">
        <f t="shared" si="3"/>
        <v>lisp/frm.lsp</v>
      </c>
      <c r="L59" s="5" t="str">
        <f t="shared" si="4"/>
        <v>code/frm.lsp</v>
      </c>
      <c r="M59" s="6" t="s">
        <v>188</v>
      </c>
      <c r="N59" s="3" t="s">
        <v>18</v>
      </c>
      <c r="O59" s="3" t="s">
        <v>17</v>
      </c>
      <c r="P59" s="5" t="str">
        <f t="shared" si="5"/>
        <v>58,FRM,レイアウト,レイアウト連続作成,FRM,img/steps/frm_1.png|img/steps/frm_2.png|img/steps/frm_3.png,手順1|手順2|手順3,レイアウト,img/before/frm.jpg,img/after/frm.jpg,lisp/frm.lsp,code/frm.lsp,260116,北川,stable</v>
      </c>
    </row>
    <row r="60" spans="1:16" x14ac:dyDescent="0.15">
      <c r="A60" s="5">
        <v>59</v>
      </c>
      <c r="B60" s="5" t="s">
        <v>79</v>
      </c>
      <c r="C60" s="5" t="s">
        <v>107</v>
      </c>
      <c r="D60" s="5" t="s">
        <v>165</v>
      </c>
      <c r="E60" s="5" t="s">
        <v>79</v>
      </c>
      <c r="F60" s="5" t="str">
        <f t="shared" si="0"/>
        <v>img/steps/setltscale_1.png|img/steps/setltscale_2.png|img/steps/setltscale_3.png</v>
      </c>
      <c r="G60" s="5" t="s">
        <v>16</v>
      </c>
      <c r="H60" s="5" t="s">
        <v>107</v>
      </c>
      <c r="I60" s="5" t="str">
        <f t="shared" si="1"/>
        <v>img/before/setltscale.jpg</v>
      </c>
      <c r="J60" s="5" t="str">
        <f t="shared" si="2"/>
        <v>img/after/setltscale.jpg</v>
      </c>
      <c r="K60" s="5" t="str">
        <f t="shared" si="3"/>
        <v>lisp/setltscale.lsp</v>
      </c>
      <c r="L60" s="5" t="str">
        <f t="shared" si="4"/>
        <v>code/setltscale.lsp</v>
      </c>
      <c r="M60" s="6">
        <v>251020</v>
      </c>
      <c r="N60" s="3" t="s">
        <v>18</v>
      </c>
      <c r="O60" s="3" t="s">
        <v>17</v>
      </c>
      <c r="P60" s="5" t="str">
        <f t="shared" si="5"/>
        <v>59,SETLTSCALE,設定,ブロック内の線種尺度を変更する,SETLTSCALE,img/steps/setltscale_1.png|img/steps/setltscale_2.png|img/steps/setltscale_3.png,手順1|手順2|手順3,設定,img/before/setltscale.jpg,img/after/setltscale.jpg,lisp/setltscale.lsp,code/setltscale.lsp,251020,北川,stable</v>
      </c>
    </row>
    <row r="61" spans="1:16" x14ac:dyDescent="0.15">
      <c r="A61" s="5">
        <v>60</v>
      </c>
      <c r="B61" s="5" t="s">
        <v>91</v>
      </c>
      <c r="C61" s="5" t="s">
        <v>108</v>
      </c>
      <c r="D61" s="5" t="s">
        <v>184</v>
      </c>
      <c r="E61" s="5" t="s">
        <v>23</v>
      </c>
      <c r="F61" s="5" t="str">
        <f t="shared" si="0"/>
        <v>img/steps/attcopy_1.png|img/steps/attcopy_2.png|img/steps/attcopy_3.png</v>
      </c>
      <c r="G61" s="5" t="s">
        <v>16</v>
      </c>
      <c r="H61" s="5" t="s">
        <v>108</v>
      </c>
      <c r="I61" s="5" t="str">
        <f t="shared" si="1"/>
        <v>img/before/attcopy.jpg</v>
      </c>
      <c r="J61" s="5" t="str">
        <f t="shared" si="2"/>
        <v>img/after/attcopy.jpg</v>
      </c>
      <c r="K61" s="5" t="str">
        <f t="shared" si="3"/>
        <v>lisp/attcopy.lsp</v>
      </c>
      <c r="L61" s="5" t="str">
        <f t="shared" si="4"/>
        <v>code/attcopy.lsp</v>
      </c>
      <c r="M61" s="6">
        <v>251211</v>
      </c>
      <c r="N61" s="3" t="s">
        <v>18</v>
      </c>
      <c r="O61" s="3" t="s">
        <v>17</v>
      </c>
      <c r="P61" s="5" t="str">
        <f t="shared" si="5"/>
        <v>60,ATTCOPY,属性,普通の文字内容をブロック属性文字へコピーする,ATTCOPY（属性文字変更コピー）,img/steps/attcopy_1.png|img/steps/attcopy_2.png|img/steps/attcopy_3.png,手順1|手順2|手順3,属性,img/before/attcopy.jpg,img/after/attcopy.jpg,lisp/attcopy.lsp,code/attcopy.lsp,251211,北川,stable</v>
      </c>
    </row>
    <row r="62" spans="1:16" x14ac:dyDescent="0.15">
      <c r="A62" s="5">
        <v>61</v>
      </c>
      <c r="B62" s="5" t="s">
        <v>36</v>
      </c>
      <c r="C62" s="5" t="s">
        <v>109</v>
      </c>
      <c r="D62" s="5" t="s">
        <v>185</v>
      </c>
      <c r="E62" s="5" t="s">
        <v>36</v>
      </c>
      <c r="F62" s="5" t="str">
        <f t="shared" si="0"/>
        <v>img/steps/dobject_1.png|img/steps/dobject_2.png|img/steps/dobject_3.png</v>
      </c>
      <c r="G62" s="5" t="s">
        <v>16</v>
      </c>
      <c r="H62" s="5" t="s">
        <v>109</v>
      </c>
      <c r="I62" s="5" t="str">
        <f t="shared" si="1"/>
        <v>img/before/dobject.jpg</v>
      </c>
      <c r="J62" s="5" t="str">
        <f t="shared" si="2"/>
        <v>img/after/dobject.jpg</v>
      </c>
      <c r="K62" s="5" t="str">
        <f t="shared" si="3"/>
        <v>lisp/dobject.lsp</v>
      </c>
      <c r="L62" s="5" t="str">
        <f t="shared" si="4"/>
        <v>code/dobject.lsp</v>
      </c>
      <c r="M62" s="6" t="s">
        <v>192</v>
      </c>
      <c r="N62" s="3" t="s">
        <v>18</v>
      </c>
      <c r="O62" s="3" t="s">
        <v>17</v>
      </c>
      <c r="P62" s="5" t="str">
        <f t="shared" si="5"/>
        <v>61,DOBJECT,削除,任意の範囲の任意オブジェクトを全て削除,DOBJECT,img/steps/dobject_1.png|img/steps/dobject_2.png|img/steps/dobject_3.png,手順1|手順2|手順3,削除,img/before/dobject.jpg,img/after/dobject.jpg,lisp/dobject.lsp,code/dobject.lsp,260204,北川,stable</v>
      </c>
    </row>
    <row r="63" spans="1:16" x14ac:dyDescent="0.15">
      <c r="A63" s="5">
        <v>62</v>
      </c>
      <c r="B63" s="5" t="s">
        <v>80</v>
      </c>
      <c r="C63" s="5" t="s">
        <v>110</v>
      </c>
      <c r="D63" s="5" t="s">
        <v>166</v>
      </c>
      <c r="E63" s="5" t="s">
        <v>80</v>
      </c>
      <c r="F63" s="5" t="str">
        <f t="shared" si="0"/>
        <v>img/steps/newname_1.png|img/steps/newname_2.png|img/steps/newname_3.png</v>
      </c>
      <c r="G63" s="5" t="s">
        <v>16</v>
      </c>
      <c r="H63" s="5" t="s">
        <v>110</v>
      </c>
      <c r="I63" s="5" t="str">
        <f t="shared" si="1"/>
        <v>img/before/newname.jpg</v>
      </c>
      <c r="J63" s="5" t="str">
        <f t="shared" si="2"/>
        <v>img/after/newname.jpg</v>
      </c>
      <c r="K63" s="5" t="str">
        <f t="shared" si="3"/>
        <v>lisp/newname.lsp</v>
      </c>
      <c r="L63" s="5" t="str">
        <f t="shared" si="4"/>
        <v>code/newname.lsp</v>
      </c>
      <c r="M63" s="6" t="s">
        <v>193</v>
      </c>
      <c r="N63" s="3" t="s">
        <v>18</v>
      </c>
      <c r="O63" s="3" t="s">
        <v>17</v>
      </c>
      <c r="P63" s="5" t="str">
        <f t="shared" si="5"/>
        <v>62,NEWNAME,名前追加,レイヤー、文字・寸法スタイル名を素早く新規追加,NEWNAME,img/steps/newname_1.png|img/steps/newname_2.png|img/steps/newname_3.png,手順1|手順2|手順3,名前追加,img/before/newname.jpg,img/after/newname.jpg,lisp/newname.lsp,code/newname.lsp,260130,北川,stable</v>
      </c>
    </row>
    <row r="64" spans="1:16" x14ac:dyDescent="0.15">
      <c r="A64" s="5">
        <v>63</v>
      </c>
      <c r="B64" s="5" t="s">
        <v>81</v>
      </c>
      <c r="C64" s="5" t="s">
        <v>111</v>
      </c>
      <c r="D64" s="5" t="s">
        <v>167</v>
      </c>
      <c r="E64" s="5" t="s">
        <v>81</v>
      </c>
      <c r="F64" s="5" t="str">
        <f t="shared" si="0"/>
        <v>img/steps/scalecont_1.png|img/steps/scalecont_2.png|img/steps/scalecont_3.png</v>
      </c>
      <c r="G64" s="5" t="s">
        <v>16</v>
      </c>
      <c r="H64" s="5" t="s">
        <v>111</v>
      </c>
      <c r="I64" s="5" t="str">
        <f t="shared" si="1"/>
        <v>img/before/scalecont.jpg</v>
      </c>
      <c r="J64" s="5" t="str">
        <f t="shared" si="2"/>
        <v>img/after/scalecont.jpg</v>
      </c>
      <c r="K64" s="5" t="str">
        <f t="shared" si="3"/>
        <v>lisp/scalecont.lsp</v>
      </c>
      <c r="L64" s="5" t="str">
        <f t="shared" si="4"/>
        <v>code/scalecont.lsp</v>
      </c>
      <c r="M64" s="6" t="s">
        <v>196</v>
      </c>
      <c r="N64" s="3" t="s">
        <v>18</v>
      </c>
      <c r="O64" s="3" t="s">
        <v>17</v>
      </c>
      <c r="P64" s="5" t="str">
        <f t="shared" si="5"/>
        <v>63,SCALECONT,尺度,連続尺度変更,SCALECONT,img/steps/scalecont_1.png|img/steps/scalecont_2.png|img/steps/scalecont_3.png,手順1|手順2|手順3,尺度,img/before/scalecont.jpg,img/after/scalecont.jpg,lisp/scalecont.lsp,code/scalecont.lsp,260306,北川,stable</v>
      </c>
    </row>
    <row r="65" spans="1:16" x14ac:dyDescent="0.15">
      <c r="A65" s="5">
        <v>64</v>
      </c>
      <c r="B65" s="5" t="s">
        <v>82</v>
      </c>
      <c r="C65" s="5" t="s">
        <v>112</v>
      </c>
      <c r="D65" s="5" t="s">
        <v>168</v>
      </c>
      <c r="E65" s="5" t="s">
        <v>82</v>
      </c>
      <c r="F65" s="5" t="str">
        <f t="shared" si="0"/>
        <v>img/steps/grp_1.png|img/steps/grp_2.png|img/steps/grp_3.png</v>
      </c>
      <c r="G65" s="5" t="s">
        <v>16</v>
      </c>
      <c r="H65" s="5" t="s">
        <v>112</v>
      </c>
      <c r="I65" s="5" t="str">
        <f t="shared" si="1"/>
        <v>img/before/grp.jpg</v>
      </c>
      <c r="J65" s="5" t="str">
        <f t="shared" si="2"/>
        <v>img/after/grp.jpg</v>
      </c>
      <c r="K65" s="5" t="str">
        <f t="shared" si="3"/>
        <v>lisp/grp.lsp</v>
      </c>
      <c r="L65" s="5" t="str">
        <f t="shared" si="4"/>
        <v>code/grp.lsp</v>
      </c>
      <c r="M65" s="6" t="s">
        <v>188</v>
      </c>
      <c r="N65" s="3" t="s">
        <v>18</v>
      </c>
      <c r="O65" s="3" t="s">
        <v>17</v>
      </c>
      <c r="P65" s="5" t="str">
        <f t="shared" si="5"/>
        <v>64,GRP,グループ,即グループ化（作成日時がグループ名になる）,GRP,img/steps/grp_1.png|img/steps/grp_2.png|img/steps/grp_3.png,手順1|手順2|手順3,グループ,img/before/grp.jpg,img/after/grp.jpg,lisp/grp.lsp,code/grp.lsp,260116,北川,stable</v>
      </c>
    </row>
    <row r="66" spans="1:16" x14ac:dyDescent="0.15">
      <c r="A66" s="5">
        <v>65</v>
      </c>
      <c r="B66" s="5" t="s">
        <v>83</v>
      </c>
      <c r="C66" s="5" t="s">
        <v>113</v>
      </c>
      <c r="D66" s="5" t="s">
        <v>169</v>
      </c>
      <c r="E66" s="5" t="s">
        <v>83</v>
      </c>
      <c r="F66" s="5" t="str">
        <f t="shared" si="0"/>
        <v>img/steps/check_1.png|img/steps/check_2.png|img/steps/check_3.png</v>
      </c>
      <c r="G66" s="5" t="s">
        <v>16</v>
      </c>
      <c r="H66" s="5" t="s">
        <v>113</v>
      </c>
      <c r="I66" s="5" t="str">
        <f t="shared" si="1"/>
        <v>img/before/check.jpg</v>
      </c>
      <c r="J66" s="5" t="str">
        <f t="shared" si="2"/>
        <v>img/after/check.jpg</v>
      </c>
      <c r="K66" s="5" t="str">
        <f t="shared" si="3"/>
        <v>lisp/check.lsp</v>
      </c>
      <c r="L66" s="5" t="str">
        <f t="shared" si="4"/>
        <v>code/check.lsp</v>
      </c>
      <c r="M66" s="6" t="s">
        <v>188</v>
      </c>
      <c r="N66" s="3" t="s">
        <v>18</v>
      </c>
      <c r="O66" s="3" t="s">
        <v>17</v>
      </c>
      <c r="P66" s="5" t="str">
        <f t="shared" si="5"/>
        <v>65,CHECK,チェック,チェック図作成,CHECK,img/steps/check_1.png|img/steps/check_2.png|img/steps/check_3.png,手順1|手順2|手順3,チェック,img/before/check.jpg,img/after/check.jpg,lisp/check.lsp,code/check.lsp,260116,北川,stable</v>
      </c>
    </row>
    <row r="67" spans="1:16" x14ac:dyDescent="0.15">
      <c r="A67" s="5">
        <v>66</v>
      </c>
      <c r="B67" s="5" t="s">
        <v>84</v>
      </c>
      <c r="C67" s="5" t="s">
        <v>114</v>
      </c>
      <c r="D67" s="5" t="s">
        <v>170</v>
      </c>
      <c r="E67" s="5" t="s">
        <v>84</v>
      </c>
      <c r="F67" s="5" t="str">
        <f t="shared" ref="F67:F99" si="6">"img/steps/"&amp;LOWER(B67)&amp;"_1.png|img/steps/"&amp;LOWER(B67)&amp;"_2.png|img/steps/"&amp;LOWER(B67)&amp;"_3.png"</f>
        <v>img/steps/vtrac_1.png|img/steps/vtrac_2.png|img/steps/vtrac_3.png</v>
      </c>
      <c r="G67" s="5" t="s">
        <v>16</v>
      </c>
      <c r="H67" s="5" t="s">
        <v>114</v>
      </c>
      <c r="I67" s="5" t="str">
        <f t="shared" ref="I67:I99" si="7">"img/before/"&amp;LOWER(B67)&amp;".jpg"</f>
        <v>img/before/vtrac.jpg</v>
      </c>
      <c r="J67" s="5" t="str">
        <f t="shared" ref="J67:J99" si="8">"img/after/"&amp;LOWER(B67)&amp;".jpg"</f>
        <v>img/after/vtrac.jpg</v>
      </c>
      <c r="K67" s="5" t="str">
        <f t="shared" ref="K67:K99" si="9">"lisp/"&amp;LOWER(B67)&amp;".lsp"</f>
        <v>lisp/vtrac.lsp</v>
      </c>
      <c r="L67" s="5" t="str">
        <f t="shared" ref="L67:L99" si="10">"code/"&amp;LOWER(B67)&amp;".lsp"</f>
        <v>code/vtrac.lsp</v>
      </c>
      <c r="M67" s="6" t="s">
        <v>189</v>
      </c>
      <c r="N67" s="3" t="s">
        <v>18</v>
      </c>
      <c r="O67" s="3" t="s">
        <v>17</v>
      </c>
      <c r="P67" s="5" t="str">
        <f t="shared" ref="P67:P71" si="11">A67 &amp; "," &amp; B67 &amp; "," &amp; C67 &amp; "," &amp; D67 &amp; "," &amp; E67 &amp; "," &amp; F67 &amp; "," &amp; G67 &amp; "," &amp; H67 &amp; "," &amp; I67 &amp; "," &amp; J67 &amp; "," &amp; K67 &amp; "," &amp; L67 &amp; "," &amp; M67 &amp; "," &amp; N67 &amp; "," &amp; O67</f>
        <v>66,VTRAC,図形,車の軌跡作成,VTRAC,img/steps/vtrac_1.png|img/steps/vtrac_2.png|img/steps/vtrac_3.png,手順1|手順2|手順3,図形,img/before/vtrac.jpg,img/after/vtrac.jpg,lisp/vtrac.lsp,code/vtrac.lsp,260114,北川,stable</v>
      </c>
    </row>
    <row r="68" spans="1:16" x14ac:dyDescent="0.15">
      <c r="A68" s="5">
        <v>67</v>
      </c>
      <c r="B68" s="5" t="s">
        <v>85</v>
      </c>
      <c r="C68" s="5" t="s">
        <v>102</v>
      </c>
      <c r="D68" s="5" t="s">
        <v>171</v>
      </c>
      <c r="E68" s="5" t="s">
        <v>85</v>
      </c>
      <c r="F68" s="5" t="str">
        <f t="shared" si="6"/>
        <v>img/steps/joinpoly_1.png|img/steps/joinpoly_2.png|img/steps/joinpoly_3.png</v>
      </c>
      <c r="G68" s="5" t="s">
        <v>16</v>
      </c>
      <c r="H68" s="5" t="s">
        <v>102</v>
      </c>
      <c r="I68" s="5" t="str">
        <f t="shared" si="7"/>
        <v>img/before/joinpoly.jpg</v>
      </c>
      <c r="J68" s="5" t="str">
        <f t="shared" si="8"/>
        <v>img/after/joinpoly.jpg</v>
      </c>
      <c r="K68" s="5" t="str">
        <f t="shared" si="9"/>
        <v>lisp/joinpoly.lsp</v>
      </c>
      <c r="L68" s="5" t="str">
        <f t="shared" si="10"/>
        <v>code/joinpoly.lsp</v>
      </c>
      <c r="M68" s="6" t="s">
        <v>203</v>
      </c>
      <c r="N68" s="3" t="s">
        <v>18</v>
      </c>
      <c r="O68" s="3" t="s">
        <v>17</v>
      </c>
      <c r="P68" s="5" t="str">
        <f t="shared" si="11"/>
        <v>67,JOINPOLY,ポリライン,選択線の即ポリライン化,JOINPOLY,img/steps/joinpoly_1.png|img/steps/joinpoly_2.png|img/steps/joinpoly_3.png,手順1|手順2|手順3,ポリライン,img/before/joinpoly.jpg,img/after/joinpoly.jpg,lisp/joinpoly.lsp,code/joinpoly.lsp,260108,北川,stable</v>
      </c>
    </row>
    <row r="69" spans="1:16" x14ac:dyDescent="0.15">
      <c r="A69" s="5">
        <v>68</v>
      </c>
      <c r="B69" s="5" t="s">
        <v>86</v>
      </c>
      <c r="C69" s="5" t="s">
        <v>115</v>
      </c>
      <c r="D69" s="5" t="s">
        <v>172</v>
      </c>
      <c r="E69" s="5" t="s">
        <v>86</v>
      </c>
      <c r="F69" s="5" t="str">
        <f t="shared" si="6"/>
        <v>img/steps/xymc_1.png|img/steps/xymc_2.png|img/steps/xymc_3.png</v>
      </c>
      <c r="G69" s="5" t="s">
        <v>16</v>
      </c>
      <c r="H69" s="5" t="s">
        <v>115</v>
      </c>
      <c r="I69" s="5" t="str">
        <f t="shared" si="7"/>
        <v>img/before/xymc.jpg</v>
      </c>
      <c r="J69" s="5" t="str">
        <f t="shared" si="8"/>
        <v>img/after/xymc.jpg</v>
      </c>
      <c r="K69" s="5" t="str">
        <f t="shared" si="9"/>
        <v>lisp/xymc.lsp</v>
      </c>
      <c r="L69" s="5" t="str">
        <f t="shared" si="10"/>
        <v>code/xymc.lsp</v>
      </c>
      <c r="M69" s="6">
        <v>260122</v>
      </c>
      <c r="N69" s="3" t="s">
        <v>18</v>
      </c>
      <c r="O69" s="3" t="s">
        <v>17</v>
      </c>
      <c r="P69" s="5" t="str">
        <f t="shared" si="11"/>
        <v>68,XYMC,移動コピー,指定距離移動コピー,XYMC,img/steps/xymc_1.png|img/steps/xymc_2.png|img/steps/xymc_3.png,手順1|手順2|手順3,移動コピー,img/before/xymc.jpg,img/after/xymc.jpg,lisp/xymc.lsp,code/xymc.lsp,260122,北川,stable</v>
      </c>
    </row>
    <row r="70" spans="1:16" x14ac:dyDescent="0.15">
      <c r="A70" s="5">
        <v>69</v>
      </c>
      <c r="B70" s="5" t="s">
        <v>92</v>
      </c>
      <c r="C70" s="5" t="s">
        <v>116</v>
      </c>
      <c r="D70" s="5" t="s">
        <v>173</v>
      </c>
      <c r="E70" s="5" t="s">
        <v>24</v>
      </c>
      <c r="F70" s="5" t="str">
        <f t="shared" si="6"/>
        <v>img/steps/opensupport_1.png|img/steps/opensupport_2.png|img/steps/opensupport_3.png</v>
      </c>
      <c r="G70" s="5" t="s">
        <v>16</v>
      </c>
      <c r="H70" s="5" t="s">
        <v>116</v>
      </c>
      <c r="I70" s="5" t="str">
        <f t="shared" si="7"/>
        <v>img/before/opensupport.jpg</v>
      </c>
      <c r="J70" s="5" t="str">
        <f t="shared" si="8"/>
        <v>img/after/opensupport.jpg</v>
      </c>
      <c r="K70" s="5" t="str">
        <f t="shared" si="9"/>
        <v>lisp/opensupport.lsp</v>
      </c>
      <c r="L70" s="5" t="str">
        <f t="shared" si="10"/>
        <v>code/opensupport.lsp</v>
      </c>
      <c r="M70" s="6">
        <v>250418</v>
      </c>
      <c r="N70" s="3" t="s">
        <v>18</v>
      </c>
      <c r="O70" s="3" t="s">
        <v>17</v>
      </c>
      <c r="P70" s="5" t="str">
        <f t="shared" si="11"/>
        <v>69,OPENSUPPORT,ファイル,SUPPORTフォルダを開きたい,OPENSUPPORT（サポートフォルダを開く）,img/steps/opensupport_1.png|img/steps/opensupport_2.png|img/steps/opensupport_3.png,手順1|手順2|手順3,ファイル,img/before/opensupport.jpg,img/after/opensupport.jpg,lisp/opensupport.lsp,code/opensupport.lsp,250418,北川,stable</v>
      </c>
    </row>
    <row r="71" spans="1:16" x14ac:dyDescent="0.15">
      <c r="A71" s="5">
        <v>70</v>
      </c>
      <c r="B71" s="5" t="s">
        <v>87</v>
      </c>
      <c r="C71" s="5" t="s">
        <v>102</v>
      </c>
      <c r="E71" s="5" t="s">
        <v>87</v>
      </c>
      <c r="F71" s="5" t="str">
        <f t="shared" si="6"/>
        <v>img/steps/plmenseki_1.png|img/steps/plmenseki_2.png|img/steps/plmenseki_3.png</v>
      </c>
      <c r="G71" s="5" t="s">
        <v>16</v>
      </c>
      <c r="H71" s="5" t="s">
        <v>102</v>
      </c>
      <c r="I71" s="5" t="str">
        <f t="shared" si="7"/>
        <v>img/before/plmenseki.jpg</v>
      </c>
      <c r="J71" s="5" t="str">
        <f t="shared" si="8"/>
        <v>img/after/plmenseki.jpg</v>
      </c>
      <c r="K71" s="5" t="str">
        <f t="shared" si="9"/>
        <v>lisp/plmenseki.lsp</v>
      </c>
      <c r="L71" s="5" t="str">
        <f t="shared" si="10"/>
        <v>code/plmenseki.lsp</v>
      </c>
      <c r="M71" s="6" t="s">
        <v>204</v>
      </c>
      <c r="N71" s="3" t="s">
        <v>18</v>
      </c>
      <c r="O71" s="3" t="s">
        <v>17</v>
      </c>
      <c r="P71" s="5" t="str">
        <f t="shared" si="11"/>
        <v>70,PLMENSEKI,ポリライン,,PLMENSEKI,img/steps/plmenseki_1.png|img/steps/plmenseki_2.png|img/steps/plmenseki_3.png,手順1|手順2|手順3,ポリライン,img/before/plmenseki.jpg,img/after/plmenseki.jpg,lisp/plmenseki.lsp,code/plmenseki.lsp,260305,北川,stable</v>
      </c>
    </row>
    <row r="72" spans="1:16" x14ac:dyDescent="0.15">
      <c r="M72" s="2"/>
    </row>
    <row r="73" spans="1:16" x14ac:dyDescent="0.15">
      <c r="M73" s="2"/>
    </row>
    <row r="74" spans="1:16" x14ac:dyDescent="0.15">
      <c r="M74" s="2"/>
    </row>
    <row r="75" spans="1:16" x14ac:dyDescent="0.15">
      <c r="M75" s="2"/>
    </row>
    <row r="76" spans="1:16" x14ac:dyDescent="0.15">
      <c r="M76" s="2"/>
    </row>
    <row r="77" spans="1:16" x14ac:dyDescent="0.15">
      <c r="M77" s="2"/>
    </row>
    <row r="78" spans="1:16" x14ac:dyDescent="0.15">
      <c r="M78" s="2"/>
    </row>
    <row r="79" spans="1:16" x14ac:dyDescent="0.15">
      <c r="M79" s="2"/>
    </row>
    <row r="80" spans="1:16" x14ac:dyDescent="0.15">
      <c r="M80" s="2"/>
    </row>
    <row r="81" spans="13:13" x14ac:dyDescent="0.15">
      <c r="M81" s="2"/>
    </row>
    <row r="82" spans="13:13" x14ac:dyDescent="0.15">
      <c r="M82" s="2"/>
    </row>
    <row r="83" spans="13:13" x14ac:dyDescent="0.15">
      <c r="M83" s="2"/>
    </row>
    <row r="84" spans="13:13" x14ac:dyDescent="0.15">
      <c r="M84" s="2"/>
    </row>
    <row r="85" spans="13:13" x14ac:dyDescent="0.15">
      <c r="M85" s="2"/>
    </row>
    <row r="86" spans="13:13" x14ac:dyDescent="0.15">
      <c r="M86" s="2"/>
    </row>
    <row r="87" spans="13:13" x14ac:dyDescent="0.15">
      <c r="M87" s="2"/>
    </row>
    <row r="88" spans="13:13" x14ac:dyDescent="0.15">
      <c r="M88" s="2"/>
    </row>
    <row r="89" spans="13:13" x14ac:dyDescent="0.15">
      <c r="M89" s="2"/>
    </row>
    <row r="90" spans="13:13" x14ac:dyDescent="0.15">
      <c r="M90" s="2"/>
    </row>
    <row r="91" spans="13:13" x14ac:dyDescent="0.15">
      <c r="M91" s="2"/>
    </row>
    <row r="92" spans="13:13" x14ac:dyDescent="0.15">
      <c r="M92" s="2"/>
    </row>
    <row r="93" spans="13:13" x14ac:dyDescent="0.15">
      <c r="M93" s="2"/>
    </row>
    <row r="94" spans="13:13" x14ac:dyDescent="0.15">
      <c r="M94" s="2"/>
    </row>
    <row r="95" spans="13:13" x14ac:dyDescent="0.15">
      <c r="M95" s="2"/>
    </row>
    <row r="96" spans="13:13" x14ac:dyDescent="0.15">
      <c r="M96" s="2"/>
    </row>
    <row r="97" spans="13:13" x14ac:dyDescent="0.15">
      <c r="M97" s="2"/>
    </row>
    <row r="98" spans="13:13" x14ac:dyDescent="0.15">
      <c r="M98" s="2"/>
    </row>
    <row r="99" spans="13:13" x14ac:dyDescent="0.15">
      <c r="M99" s="2"/>
    </row>
  </sheetData>
  <phoneticPr fontId="3"/>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LISP_CSV_Template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北川淳一</cp:lastModifiedBy>
  <dcterms:created xsi:type="dcterms:W3CDTF">2026-03-16T09:12:20Z</dcterms:created>
  <dcterms:modified xsi:type="dcterms:W3CDTF">2026-03-16T09:36:48Z</dcterms:modified>
</cp:coreProperties>
</file>